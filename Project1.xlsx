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83d73d2a9c382/Desktop/Data analysis/"/>
    </mc:Choice>
  </mc:AlternateContent>
  <xr:revisionPtr revIDLastSave="155" documentId="8_{54689EFA-0B69-4794-8BA3-BB4D2BE52086}" xr6:coauthVersionLast="47" xr6:coauthVersionMax="47" xr10:uidLastSave="{DF206EB7-82BB-481C-8275-D091B3774B27}"/>
  <bookViews>
    <workbookView minimized="1" xWindow="84" yWindow="288" windowWidth="22956" windowHeight="12072" xr2:uid="{9C3712C2-E66B-4DAC-9F59-6142D0BB8DCB}"/>
  </bookViews>
  <sheets>
    <sheet name="Sheet3" sheetId="3" r:id="rId1"/>
    <sheet name="Sheet2" sheetId="2" r:id="rId2"/>
  </sheets>
  <calcPr calcId="191029" calcCompleted="0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" i="3" l="1"/>
  <c r="J14" i="2"/>
</calcChain>
</file>

<file path=xl/sharedStrings.xml><?xml version="1.0" encoding="utf-8"?>
<sst xmlns="http://schemas.openxmlformats.org/spreadsheetml/2006/main" count="489" uniqueCount="171">
  <si>
    <t>ORD002</t>
  </si>
  <si>
    <t>ORD004</t>
  </si>
  <si>
    <t>ORD005</t>
  </si>
  <si>
    <t>ORD006</t>
  </si>
  <si>
    <t>ORD009</t>
  </si>
  <si>
    <t>ORD011</t>
  </si>
  <si>
    <t>ORD013</t>
  </si>
  <si>
    <t>ORD020</t>
  </si>
  <si>
    <t>Order_ID</t>
  </si>
  <si>
    <t>Product</t>
  </si>
  <si>
    <t>Category</t>
  </si>
  <si>
    <t>Region</t>
  </si>
  <si>
    <t>Sales</t>
  </si>
  <si>
    <t>Quantity</t>
  </si>
  <si>
    <t>Profit</t>
  </si>
  <si>
    <t>Status</t>
  </si>
  <si>
    <t>ORD001</t>
  </si>
  <si>
    <t>Laptop</t>
  </si>
  <si>
    <t>Electronics</t>
  </si>
  <si>
    <t>West</t>
  </si>
  <si>
    <t>Delivered</t>
  </si>
  <si>
    <t>Furniture</t>
  </si>
  <si>
    <t>ORD003</t>
  </si>
  <si>
    <t>Notebook</t>
  </si>
  <si>
    <t>North</t>
  </si>
  <si>
    <t>Phone</t>
  </si>
  <si>
    <t>Desk</t>
  </si>
  <si>
    <t>Cancelled</t>
  </si>
  <si>
    <t>Pen Set</t>
  </si>
  <si>
    <t>Stationery</t>
  </si>
  <si>
    <t>East</t>
  </si>
  <si>
    <t>delivered</t>
  </si>
  <si>
    <t>ORD007</t>
  </si>
  <si>
    <t>Pending</t>
  </si>
  <si>
    <t>ORD008</t>
  </si>
  <si>
    <t>Bookshelf</t>
  </si>
  <si>
    <t>South</t>
  </si>
  <si>
    <t>ORD010</t>
  </si>
  <si>
    <t>Stapler</t>
  </si>
  <si>
    <t>ORD012</t>
  </si>
  <si>
    <t>Chair</t>
  </si>
  <si>
    <t>ORD014</t>
  </si>
  <si>
    <t>Monitor</t>
  </si>
  <si>
    <t>ORD015</t>
  </si>
  <si>
    <t>ORD016</t>
  </si>
  <si>
    <t>Tablet</t>
  </si>
  <si>
    <t>ORD017</t>
  </si>
  <si>
    <t>ORD018</t>
  </si>
  <si>
    <t>ORD019</t>
  </si>
  <si>
    <t>Row Labels</t>
  </si>
  <si>
    <t>Grand Total</t>
  </si>
  <si>
    <t>Sum of Sales</t>
  </si>
  <si>
    <t>Sum of Profit</t>
  </si>
  <si>
    <t>Count of Order_ID</t>
  </si>
  <si>
    <t>Customer_Name</t>
  </si>
  <si>
    <t>City</t>
  </si>
  <si>
    <t>Discount</t>
  </si>
  <si>
    <t>Month</t>
  </si>
  <si>
    <t>Priya Sharma</t>
  </si>
  <si>
    <t>Mumbai</t>
  </si>
  <si>
    <t>January</t>
  </si>
  <si>
    <t>Rahul Verma</t>
  </si>
  <si>
    <t>Kolkata</t>
  </si>
  <si>
    <t>Anita Rao</t>
  </si>
  <si>
    <t>Delhi</t>
  </si>
  <si>
    <t>February</t>
  </si>
  <si>
    <t>Kiran Patel</t>
  </si>
  <si>
    <t>Chennai</t>
  </si>
  <si>
    <t>Suresh Kumar</t>
  </si>
  <si>
    <t>March</t>
  </si>
  <si>
    <t>Meena Iyer</t>
  </si>
  <si>
    <t>Amit Singh</t>
  </si>
  <si>
    <t>Divya Nair</t>
  </si>
  <si>
    <t>Bangalore</t>
  </si>
  <si>
    <t>April</t>
  </si>
  <si>
    <t>Ravi Menon</t>
  </si>
  <si>
    <t>Pooja Gupta</t>
  </si>
  <si>
    <t>Vikram Joshi</t>
  </si>
  <si>
    <t>May</t>
  </si>
  <si>
    <t>Sneha Pillai</t>
  </si>
  <si>
    <t>Arun Reddy</t>
  </si>
  <si>
    <t>Kavya Menon</t>
  </si>
  <si>
    <t>June</t>
  </si>
  <si>
    <t>Rajesh Kumar</t>
  </si>
  <si>
    <t>Deepa Sharma</t>
  </si>
  <si>
    <t>Manoj Nair</t>
  </si>
  <si>
    <t>PENDING</t>
  </si>
  <si>
    <t>July</t>
  </si>
  <si>
    <t>Sunita Rao</t>
  </si>
  <si>
    <t>Ganesh Iyer</t>
  </si>
  <si>
    <t>Hyderabad</t>
  </si>
  <si>
    <t>Lakshmi Patel</t>
  </si>
  <si>
    <t>August</t>
  </si>
  <si>
    <t>ORD021</t>
  </si>
  <si>
    <t>Harish Verma</t>
  </si>
  <si>
    <t>Keyboard</t>
  </si>
  <si>
    <t>ORD022</t>
  </si>
  <si>
    <t>Nisha Kumar</t>
  </si>
  <si>
    <t>Sofa</t>
  </si>
  <si>
    <t>ORD023</t>
  </si>
  <si>
    <t>Prakash Singh</t>
  </si>
  <si>
    <t>Eraser Pack</t>
  </si>
  <si>
    <t>September</t>
  </si>
  <si>
    <t>ORD024</t>
  </si>
  <si>
    <t>Rekha Menon</t>
  </si>
  <si>
    <t>ORD025</t>
  </si>
  <si>
    <t>Sanjay Sharma</t>
  </si>
  <si>
    <t>Filing Cabinet</t>
  </si>
  <si>
    <t>ORD026</t>
  </si>
  <si>
    <t>Uma Reddy</t>
  </si>
  <si>
    <t>Headphones</t>
  </si>
  <si>
    <t>October</t>
  </si>
  <si>
    <t>ORD027</t>
  </si>
  <si>
    <t>Vinod Nair</t>
  </si>
  <si>
    <t>Marker Set</t>
  </si>
  <si>
    <t>ORD028</t>
  </si>
  <si>
    <t>Arjun Patel</t>
  </si>
  <si>
    <t>ORD029</t>
  </si>
  <si>
    <t>Bhavna Iyer</t>
  </si>
  <si>
    <t>November</t>
  </si>
  <si>
    <t>ORD030</t>
  </si>
  <si>
    <t>Chetan Kumar</t>
  </si>
  <si>
    <t>ORD031</t>
  </si>
  <si>
    <t>Deepak Rao</t>
  </si>
  <si>
    <t>Notepad</t>
  </si>
  <si>
    <t>ORD032</t>
  </si>
  <si>
    <t>Esha Sharma</t>
  </si>
  <si>
    <t>December</t>
  </si>
  <si>
    <t>ORD033</t>
  </si>
  <si>
    <t>Farhan Verma</t>
  </si>
  <si>
    <t>Wardrobe</t>
  </si>
  <si>
    <t>ORD034</t>
  </si>
  <si>
    <t>Gita Menon</t>
  </si>
  <si>
    <t>Printer</t>
  </si>
  <si>
    <t>ORD035</t>
  </si>
  <si>
    <t>Hari Singh</t>
  </si>
  <si>
    <t>ORD036</t>
  </si>
  <si>
    <t>Indira Patel</t>
  </si>
  <si>
    <t>DELIVERED</t>
  </si>
  <si>
    <t>ORD037</t>
  </si>
  <si>
    <t>Jayesh Nair</t>
  </si>
  <si>
    <t>ORD038</t>
  </si>
  <si>
    <t>Kavitha Iyer</t>
  </si>
  <si>
    <t>ORD039</t>
  </si>
  <si>
    <t>Lokesh Kumar</t>
  </si>
  <si>
    <t>ORD040</t>
  </si>
  <si>
    <t>Mala Reddy</t>
  </si>
  <si>
    <t>ORD041</t>
  </si>
  <si>
    <t>Naveen Sharma</t>
  </si>
  <si>
    <t>ORD042</t>
  </si>
  <si>
    <t>Omkar Verma</t>
  </si>
  <si>
    <t>cancelled</t>
  </si>
  <si>
    <t>ORD043</t>
  </si>
  <si>
    <t>Parveen Nair</t>
  </si>
  <si>
    <t>ORD044</t>
  </si>
  <si>
    <t>Qureshi Patel</t>
  </si>
  <si>
    <t>ORD045</t>
  </si>
  <si>
    <t>Radha Iyer</t>
  </si>
  <si>
    <t>ORD046</t>
  </si>
  <si>
    <t>Suresh Menon</t>
  </si>
  <si>
    <t>ORD047</t>
  </si>
  <si>
    <t>Tara Kumar</t>
  </si>
  <si>
    <t>ORD048</t>
  </si>
  <si>
    <t>Uma Singh</t>
  </si>
  <si>
    <t>ORD049</t>
  </si>
  <si>
    <t>Varun Sharma</t>
  </si>
  <si>
    <t>ORD050</t>
  </si>
  <si>
    <t>Wasim Reddy</t>
  </si>
  <si>
    <t>(blank)</t>
  </si>
  <si>
    <t>Column Labels</t>
  </si>
  <si>
    <t>Average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</si>
</sst>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3D3D3A"/>
      <name val="Courier New"/>
      <family val="3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Fill="0" applyAlignment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2">
    <cellStyle name="Normal" xfId="0" builtinId="0"/>
    <cellStyle name="Style 1" xfId="1" xr:uid="{F5AA928C-CDC0-43ED-B1B7-86F435FC2FDD}"/>
  </cellStyles>
  <dxfs count="2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[Project1.xlsx]Sheet3!PivotTable7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Sheet3!$A$60:$A$72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Sheet3!$B$60:$B$72</c:f>
              <c:numCache>
                <c:formatCode>General</c:formatCode>
                <c:ptCount val="12"/>
                <c:pt idx="0">
                  <c:v>121350</c:v>
                </c:pt>
                <c:pt idx="1">
                  <c:v>70500</c:v>
                </c:pt>
                <c:pt idx="2">
                  <c:v>123200</c:v>
                </c:pt>
                <c:pt idx="3">
                  <c:v>171500</c:v>
                </c:pt>
                <c:pt idx="4">
                  <c:v>120800</c:v>
                </c:pt>
                <c:pt idx="5">
                  <c:v>192000</c:v>
                </c:pt>
                <c:pt idx="6">
                  <c:v>109250</c:v>
                </c:pt>
                <c:pt idx="7">
                  <c:v>81500</c:v>
                </c:pt>
                <c:pt idx="8">
                  <c:v>100650</c:v>
                </c:pt>
                <c:pt idx="9">
                  <c:v>53100</c:v>
                </c:pt>
                <c:pt idx="10">
                  <c:v>49400</c:v>
                </c:pt>
                <c:pt idx="11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C-42BA-89E6-1E145209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576784"/>
        <c:axId val="2000573424"/>
      </c:barChart>
      <c:catAx>
        <c:axId val="20005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73424"/>
        <c:crosses val="autoZero"/>
        <c:auto val="1"/>
        <c:lblAlgn val="ctr"/>
        <c:lblOffset val="100"/>
        <c:noMultiLvlLbl val="0"/>
      </c:catAx>
      <c:valAx>
        <c:axId val="20005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57</xdr:row>
      <xdr:rowOff>87630</xdr:rowOff>
    </xdr:from>
    <xdr:to>
      <xdr:col>11</xdr:col>
      <xdr:colOff>175260</xdr:colOff>
      <xdr:row>72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A1540-3812-8BAB-B5D3-FBD7185EE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ma Medappa" refreshedDate="46135.546341898145" createdVersion="8" refreshedVersion="8" minRefreshableVersion="3" recordCount="64" xr:uid="{DD1CF1B8-AD93-4DF6-9683-336E2BF8C804}">
  <cacheSource type="worksheet">
    <worksheetSource ref="A1:L1048576" sheet="Sheet2"/>
  </cacheSource>
  <cacheFields count="12">
    <cacheField name="Order_ID" numFmtId="0">
      <sharedItems containsBlank="1"/>
    </cacheField>
    <cacheField name="Customer_Name" numFmtId="0">
      <sharedItems containsBlank="1"/>
    </cacheField>
    <cacheField name="Product" numFmtId="0">
      <sharedItems containsBlank="1" count="20">
        <s v="Laptop"/>
        <s v="Chair"/>
        <s v="Notebook"/>
        <s v="Phone"/>
        <s v="Desk"/>
        <s v="Pen Set"/>
        <s v="Tablet"/>
        <s v="Bookshelf"/>
        <s v="Stapler"/>
        <s v="Monitor"/>
        <s v="Keyboard"/>
        <s v="Sofa"/>
        <s v="Eraser Pack"/>
        <s v="Filing Cabinet"/>
        <s v="Headphones"/>
        <s v="Marker Set"/>
        <s v="Notepad"/>
        <s v="Wardrobe"/>
        <s v="Printer"/>
        <m/>
      </sharedItems>
    </cacheField>
    <cacheField name="Category" numFmtId="0">
      <sharedItems containsBlank="1" count="4">
        <s v="Electronics"/>
        <s v="Furniture"/>
        <s v="Stationery"/>
        <m/>
      </sharedItems>
    </cacheField>
    <cacheField name="Region" numFmtId="0">
      <sharedItems containsBlank="1"/>
    </cacheField>
    <cacheField name="City" numFmtId="0">
      <sharedItems containsBlank="1" count="7">
        <s v="Mumbai"/>
        <s v="Kolkata"/>
        <s v="Delhi"/>
        <s v="Chennai"/>
        <s v="Bangalore"/>
        <s v="Hyderabad"/>
        <m/>
      </sharedItems>
    </cacheField>
    <cacheField name="Sales" numFmtId="0">
      <sharedItems containsString="0" containsBlank="1" containsNumber="1" containsInteger="1" minValue="150" maxValue="95000" count="48">
        <n v="85000"/>
        <n v="12000"/>
        <n v="500"/>
        <n v="45000"/>
        <n v="27000"/>
        <n v="300"/>
        <n v="32000"/>
        <n v="18000"/>
        <n v="87000"/>
        <n v="800"/>
        <n v="46000"/>
        <n v="13000"/>
        <n v="450"/>
        <n v="22000"/>
        <n v="33000"/>
        <n v="250"/>
        <n v="90000"/>
        <n v="19000"/>
        <n v="23000"/>
        <n v="3500"/>
        <n v="55000"/>
        <n v="150"/>
        <n v="92000"/>
        <n v="8500"/>
        <n v="4500"/>
        <n v="600"/>
        <n v="48000"/>
        <n v="14000"/>
        <n v="35000"/>
        <n v="400"/>
        <n v="88000"/>
        <n v="65000"/>
        <n v="350"/>
        <n v="24000"/>
        <n v="21000"/>
        <n v="3800"/>
        <n v="200"/>
        <n v="58000"/>
        <n v="5000"/>
        <n v="900"/>
        <n v="29000"/>
        <n v="36000"/>
        <n v="700"/>
        <n v="52000"/>
        <n v="9000"/>
        <n v="95000"/>
        <n v="15000"/>
        <m/>
      </sharedItems>
    </cacheField>
    <cacheField name="Quantity" numFmtId="0">
      <sharedItems containsString="0" containsBlank="1" containsNumber="1" containsInteger="1" minValue="1" maxValue="100"/>
    </cacheField>
    <cacheField name="Discount" numFmtId="0">
      <sharedItems containsString="0" containsBlank="1" containsNumber="1" minValue="0" maxValue="0.15"/>
    </cacheField>
    <cacheField name="Profit" numFmtId="0">
      <sharedItems containsString="0" containsBlank="1" containsNumber="1" containsInteger="1" minValue="0" maxValue="16000"/>
    </cacheField>
    <cacheField name="Status" numFmtId="0">
      <sharedItems containsBlank="1" count="4">
        <s v="Delivered"/>
        <s v="Pending"/>
        <s v="Cancelled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</cacheFields>
  <extLst>
    <ext xmlns:x14="http://schemas.microsoft.com/office/spreadsheetml/2009/9/main" uri="{725AE2AE-9491-48be-B2B4-4EB974FC3084}">
      <x14:pivotCacheDefinition pivotCacheId="53831816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ma Medappa" refreshedDate="46135.560779050924" createdVersion="8" refreshedVersion="8" minRefreshableVersion="3" recordCount="50" xr:uid="{5AEAD4F2-ED63-489C-9441-41E0FD951B5F}">
  <cacheSource type="worksheet">
    <worksheetSource ref="A1:L51" sheet="Sheet2"/>
  </cacheSource>
  <cacheFields count="12">
    <cacheField name="Order_ID" numFmtId="0">
      <sharedItems/>
    </cacheField>
    <cacheField name="Customer_Name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City" numFmtId="0">
      <sharedItems/>
    </cacheField>
    <cacheField name="Sales" numFmtId="0">
      <sharedItems containsSemiMixedTypes="0" containsString="0" containsNumber="1" containsInteger="1" minValue="150" maxValue="95000"/>
    </cacheField>
    <cacheField name="Quantity" numFmtId="0">
      <sharedItems containsSemiMixedTypes="0" containsString="0" containsNumber="1" containsInteger="1" minValue="1" maxValue="100"/>
    </cacheField>
    <cacheField name="Discount" numFmtId="0">
      <sharedItems containsSemiMixedTypes="0" containsString="0" containsNumber="1" minValue="0" maxValue="0.15"/>
    </cacheField>
    <cacheField name="Profit" numFmtId="0">
      <sharedItems containsSemiMixedTypes="0" containsString="0" containsNumber="1" containsInteger="1" minValue="0" maxValue="16000"/>
    </cacheField>
    <cacheField name="Status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ORD001"/>
    <s v="Priya Sharma"/>
    <x v="0"/>
    <x v="0"/>
    <s v="West"/>
    <x v="0"/>
    <x v="0"/>
    <n v="1"/>
    <n v="0.05"/>
    <n v="12000"/>
    <x v="0"/>
    <x v="0"/>
  </r>
  <r>
    <s v="ORD002"/>
    <s v="Rahul Verma"/>
    <x v="1"/>
    <x v="1"/>
    <s v="East"/>
    <x v="1"/>
    <x v="1"/>
    <n v="4"/>
    <n v="0.1"/>
    <n v="1800"/>
    <x v="1"/>
    <x v="0"/>
  </r>
  <r>
    <s v="ORD003"/>
    <s v="Anita Rao"/>
    <x v="2"/>
    <x v="2"/>
    <s v="North"/>
    <x v="2"/>
    <x v="2"/>
    <n v="20"/>
    <n v="0"/>
    <n v="120"/>
    <x v="0"/>
    <x v="1"/>
  </r>
  <r>
    <s v="ORD004"/>
    <s v="Kiran Patel"/>
    <x v="3"/>
    <x v="0"/>
    <s v="South"/>
    <x v="3"/>
    <x v="3"/>
    <n v="2"/>
    <n v="0.05"/>
    <n v="6500"/>
    <x v="0"/>
    <x v="1"/>
  </r>
  <r>
    <s v="ORD005"/>
    <s v="Suresh Kumar"/>
    <x v="4"/>
    <x v="1"/>
    <s v="West"/>
    <x v="0"/>
    <x v="4"/>
    <n v="1"/>
    <n v="0.15"/>
    <n v="3200"/>
    <x v="2"/>
    <x v="2"/>
  </r>
  <r>
    <s v="ORD006"/>
    <s v="Meena Iyer"/>
    <x v="5"/>
    <x v="2"/>
    <s v="East"/>
    <x v="1"/>
    <x v="5"/>
    <n v="50"/>
    <n v="0"/>
    <n v="80"/>
    <x v="0"/>
    <x v="2"/>
  </r>
  <r>
    <s v="ORD007"/>
    <s v="Amit Singh"/>
    <x v="6"/>
    <x v="0"/>
    <s v="North"/>
    <x v="2"/>
    <x v="6"/>
    <n v="3"/>
    <n v="0.1"/>
    <n v="4800"/>
    <x v="1"/>
    <x v="2"/>
  </r>
  <r>
    <s v="ORD008"/>
    <s v="Divya Nair"/>
    <x v="7"/>
    <x v="1"/>
    <s v="South"/>
    <x v="4"/>
    <x v="7"/>
    <n v="2"/>
    <n v="0.05"/>
    <n v="2400"/>
    <x v="0"/>
    <x v="3"/>
  </r>
  <r>
    <s v="ORD009"/>
    <s v="Ravi Menon"/>
    <x v="0"/>
    <x v="0"/>
    <s v="East"/>
    <x v="1"/>
    <x v="8"/>
    <n v="1"/>
    <n v="0"/>
    <n v="13000"/>
    <x v="0"/>
    <x v="3"/>
  </r>
  <r>
    <s v="ORD010"/>
    <s v="Pooja Gupta"/>
    <x v="8"/>
    <x v="2"/>
    <s v="West"/>
    <x v="0"/>
    <x v="9"/>
    <n v="10"/>
    <n v="0"/>
    <n v="200"/>
    <x v="0"/>
    <x v="3"/>
  </r>
  <r>
    <s v="ORD011"/>
    <s v="Vikram Joshi"/>
    <x v="3"/>
    <x v="0"/>
    <s v="North"/>
    <x v="2"/>
    <x v="10"/>
    <n v="2"/>
    <n v="0.05"/>
    <n v="7000"/>
    <x v="1"/>
    <x v="4"/>
  </r>
  <r>
    <s v="ORD012"/>
    <s v="Sneha Pillai"/>
    <x v="1"/>
    <x v="1"/>
    <s v="West"/>
    <x v="0"/>
    <x v="11"/>
    <n v="3"/>
    <n v="0.1"/>
    <n v="1900"/>
    <x v="0"/>
    <x v="4"/>
  </r>
  <r>
    <s v="ORD013"/>
    <s v="Arun Reddy"/>
    <x v="2"/>
    <x v="2"/>
    <s v="South"/>
    <x v="4"/>
    <x v="12"/>
    <n v="30"/>
    <n v="0"/>
    <n v="0"/>
    <x v="2"/>
    <x v="4"/>
  </r>
  <r>
    <s v="ORD014"/>
    <s v="Kavya Menon"/>
    <x v="9"/>
    <x v="0"/>
    <s v="East"/>
    <x v="1"/>
    <x v="13"/>
    <n v="2"/>
    <n v="0.05"/>
    <n v="3100"/>
    <x v="0"/>
    <x v="5"/>
  </r>
  <r>
    <s v="ORD015"/>
    <s v="Rajesh Kumar"/>
    <x v="4"/>
    <x v="1"/>
    <s v="North"/>
    <x v="2"/>
    <x v="4"/>
    <n v="1"/>
    <n v="0.1"/>
    <n v="3600"/>
    <x v="0"/>
    <x v="5"/>
  </r>
  <r>
    <s v="ORD016"/>
    <s v="Deepa Sharma"/>
    <x v="6"/>
    <x v="0"/>
    <s v="South"/>
    <x v="3"/>
    <x v="14"/>
    <n v="1"/>
    <n v="0"/>
    <n v="5000"/>
    <x v="0"/>
    <x v="5"/>
  </r>
  <r>
    <s v="ORD017"/>
    <s v="Manoj Nair"/>
    <x v="5"/>
    <x v="2"/>
    <s v="West"/>
    <x v="0"/>
    <x v="15"/>
    <n v="40"/>
    <n v="0"/>
    <n v="60"/>
    <x v="1"/>
    <x v="6"/>
  </r>
  <r>
    <s v="ORD018"/>
    <s v="Sunita Rao"/>
    <x v="0"/>
    <x v="0"/>
    <s v="South"/>
    <x v="4"/>
    <x v="16"/>
    <n v="1"/>
    <n v="0.05"/>
    <n v="14000"/>
    <x v="0"/>
    <x v="6"/>
  </r>
  <r>
    <s v="ORD019"/>
    <s v="Ganesh Iyer"/>
    <x v="7"/>
    <x v="1"/>
    <s v="East"/>
    <x v="5"/>
    <x v="17"/>
    <n v="1"/>
    <n v="0.1"/>
    <n v="2600"/>
    <x v="0"/>
    <x v="6"/>
  </r>
  <r>
    <s v="ORD020"/>
    <s v="Lakshmi Patel"/>
    <x v="9"/>
    <x v="0"/>
    <s v="North"/>
    <x v="2"/>
    <x v="18"/>
    <n v="3"/>
    <n v="0"/>
    <n v="3400"/>
    <x v="0"/>
    <x v="7"/>
  </r>
  <r>
    <s v="ORD021"/>
    <s v="Harish Verma"/>
    <x v="10"/>
    <x v="0"/>
    <s v="West"/>
    <x v="0"/>
    <x v="19"/>
    <n v="5"/>
    <n v="0.05"/>
    <n v="700"/>
    <x v="0"/>
    <x v="7"/>
  </r>
  <r>
    <s v="ORD022"/>
    <s v="Nisha Kumar"/>
    <x v="11"/>
    <x v="1"/>
    <s v="South"/>
    <x v="3"/>
    <x v="20"/>
    <n v="1"/>
    <n v="0.15"/>
    <n v="6000"/>
    <x v="0"/>
    <x v="7"/>
  </r>
  <r>
    <s v="ORD023"/>
    <s v="Prakash Singh"/>
    <x v="12"/>
    <x v="2"/>
    <s v="East"/>
    <x v="1"/>
    <x v="21"/>
    <n v="100"/>
    <n v="0"/>
    <n v="40"/>
    <x v="0"/>
    <x v="8"/>
  </r>
  <r>
    <s v="ORD024"/>
    <s v="Rekha Menon"/>
    <x v="0"/>
    <x v="0"/>
    <s v="North"/>
    <x v="2"/>
    <x v="22"/>
    <n v="1"/>
    <n v="0"/>
    <n v="15000"/>
    <x v="0"/>
    <x v="8"/>
  </r>
  <r>
    <s v="ORD025"/>
    <s v="Sanjay Sharma"/>
    <x v="13"/>
    <x v="1"/>
    <s v="West"/>
    <x v="0"/>
    <x v="23"/>
    <n v="2"/>
    <n v="0.1"/>
    <n v="1100"/>
    <x v="1"/>
    <x v="8"/>
  </r>
  <r>
    <s v="ORD026"/>
    <s v="Uma Reddy"/>
    <x v="14"/>
    <x v="0"/>
    <s v="South"/>
    <x v="4"/>
    <x v="24"/>
    <n v="3"/>
    <n v="0.05"/>
    <n v="800"/>
    <x v="0"/>
    <x v="9"/>
  </r>
  <r>
    <s v="ORD027"/>
    <s v="Vinod Nair"/>
    <x v="15"/>
    <x v="2"/>
    <s v="East"/>
    <x v="1"/>
    <x v="25"/>
    <n v="20"/>
    <n v="0"/>
    <n v="150"/>
    <x v="0"/>
    <x v="9"/>
  </r>
  <r>
    <s v="ORD028"/>
    <s v="Arjun Patel"/>
    <x v="3"/>
    <x v="0"/>
    <s v="North"/>
    <x v="2"/>
    <x v="26"/>
    <n v="2"/>
    <n v="0.05"/>
    <n v="7500"/>
    <x v="2"/>
    <x v="9"/>
  </r>
  <r>
    <s v="ORD029"/>
    <s v="Bhavna Iyer"/>
    <x v="1"/>
    <x v="1"/>
    <s v="West"/>
    <x v="0"/>
    <x v="27"/>
    <n v="2"/>
    <n v="0.1"/>
    <n v="2000"/>
    <x v="0"/>
    <x v="10"/>
  </r>
  <r>
    <s v="ORD030"/>
    <s v="Chetan Kumar"/>
    <x v="6"/>
    <x v="0"/>
    <s v="South"/>
    <x v="3"/>
    <x v="28"/>
    <n v="1"/>
    <n v="0"/>
    <n v="5500"/>
    <x v="1"/>
    <x v="10"/>
  </r>
  <r>
    <s v="ORD031"/>
    <s v="Deepak Rao"/>
    <x v="16"/>
    <x v="2"/>
    <s v="East"/>
    <x v="1"/>
    <x v="29"/>
    <n v="25"/>
    <n v="0"/>
    <n v="90"/>
    <x v="0"/>
    <x v="10"/>
  </r>
  <r>
    <s v="ORD032"/>
    <s v="Esha Sharma"/>
    <x v="0"/>
    <x v="0"/>
    <s v="North"/>
    <x v="2"/>
    <x v="30"/>
    <n v="1"/>
    <n v="0.05"/>
    <n v="13500"/>
    <x v="0"/>
    <x v="11"/>
  </r>
  <r>
    <s v="ORD033"/>
    <s v="Farhan Verma"/>
    <x v="17"/>
    <x v="1"/>
    <s v="West"/>
    <x v="0"/>
    <x v="31"/>
    <n v="1"/>
    <n v="0.1"/>
    <n v="7000"/>
    <x v="0"/>
    <x v="11"/>
  </r>
  <r>
    <s v="ORD034"/>
    <s v="Gita Menon"/>
    <x v="18"/>
    <x v="0"/>
    <s v="South"/>
    <x v="4"/>
    <x v="7"/>
    <n v="1"/>
    <n v="0.15"/>
    <n v="2200"/>
    <x v="0"/>
    <x v="11"/>
  </r>
  <r>
    <s v="ORD035"/>
    <s v="Hari Singh"/>
    <x v="5"/>
    <x v="2"/>
    <s v="East"/>
    <x v="1"/>
    <x v="32"/>
    <n v="30"/>
    <n v="0"/>
    <n v="85"/>
    <x v="0"/>
    <x v="0"/>
  </r>
  <r>
    <s v="ORD036"/>
    <s v="Indira Patel"/>
    <x v="9"/>
    <x v="0"/>
    <s v="North"/>
    <x v="2"/>
    <x v="33"/>
    <n v="2"/>
    <n v="0.05"/>
    <n v="3600"/>
    <x v="0"/>
    <x v="0"/>
  </r>
  <r>
    <s v="ORD037"/>
    <s v="Jayesh Nair"/>
    <x v="7"/>
    <x v="1"/>
    <s v="West"/>
    <x v="0"/>
    <x v="34"/>
    <n v="1"/>
    <n v="0.1"/>
    <n v="2800"/>
    <x v="0"/>
    <x v="1"/>
  </r>
  <r>
    <s v="ORD038"/>
    <s v="Kavitha Iyer"/>
    <x v="10"/>
    <x v="0"/>
    <s v="South"/>
    <x v="3"/>
    <x v="35"/>
    <n v="4"/>
    <n v="0"/>
    <n v="750"/>
    <x v="1"/>
    <x v="1"/>
  </r>
  <r>
    <s v="ORD039"/>
    <s v="Lokesh Kumar"/>
    <x v="12"/>
    <x v="2"/>
    <s v="East"/>
    <x v="1"/>
    <x v="36"/>
    <n v="80"/>
    <n v="0"/>
    <n v="50"/>
    <x v="0"/>
    <x v="1"/>
  </r>
  <r>
    <s v="ORD040"/>
    <s v="Mala Reddy"/>
    <x v="11"/>
    <x v="1"/>
    <s v="North"/>
    <x v="2"/>
    <x v="37"/>
    <n v="1"/>
    <n v="0.15"/>
    <n v="6500"/>
    <x v="0"/>
    <x v="2"/>
  </r>
  <r>
    <s v="ORD041"/>
    <s v="Naveen Sharma"/>
    <x v="14"/>
    <x v="0"/>
    <s v="West"/>
    <x v="0"/>
    <x v="38"/>
    <n v="2"/>
    <n v="0.05"/>
    <n v="900"/>
    <x v="0"/>
    <x v="2"/>
  </r>
  <r>
    <s v="ORD042"/>
    <s v="Omkar Verma"/>
    <x v="8"/>
    <x v="2"/>
    <s v="South"/>
    <x v="4"/>
    <x v="39"/>
    <n v="8"/>
    <n v="0"/>
    <n v="220"/>
    <x v="2"/>
    <x v="2"/>
  </r>
  <r>
    <s v="ORD043"/>
    <s v="Parveen Nair"/>
    <x v="4"/>
    <x v="1"/>
    <s v="East"/>
    <x v="1"/>
    <x v="40"/>
    <n v="1"/>
    <n v="0.1"/>
    <n v="3800"/>
    <x v="0"/>
    <x v="3"/>
  </r>
  <r>
    <s v="ORD044"/>
    <s v="Qureshi Patel"/>
    <x v="6"/>
    <x v="0"/>
    <s v="North"/>
    <x v="2"/>
    <x v="41"/>
    <n v="1"/>
    <n v="0"/>
    <n v="5800"/>
    <x v="0"/>
    <x v="3"/>
  </r>
  <r>
    <s v="ORD045"/>
    <s v="Radha Iyer"/>
    <x v="15"/>
    <x v="2"/>
    <s v="West"/>
    <x v="0"/>
    <x v="42"/>
    <n v="15"/>
    <n v="0"/>
    <n v="180"/>
    <x v="0"/>
    <x v="3"/>
  </r>
  <r>
    <s v="ORD046"/>
    <s v="Suresh Menon"/>
    <x v="3"/>
    <x v="0"/>
    <s v="South"/>
    <x v="3"/>
    <x v="43"/>
    <n v="2"/>
    <n v="0.05"/>
    <n v="8000"/>
    <x v="0"/>
    <x v="4"/>
  </r>
  <r>
    <s v="ORD047"/>
    <s v="Tara Kumar"/>
    <x v="13"/>
    <x v="1"/>
    <s v="East"/>
    <x v="1"/>
    <x v="44"/>
    <n v="1"/>
    <n v="0.1"/>
    <n v="1200"/>
    <x v="1"/>
    <x v="4"/>
  </r>
  <r>
    <s v="ORD048"/>
    <s v="Uma Singh"/>
    <x v="16"/>
    <x v="2"/>
    <s v="North"/>
    <x v="2"/>
    <x v="32"/>
    <n v="20"/>
    <n v="0"/>
    <n v="3100"/>
    <x v="0"/>
    <x v="4"/>
  </r>
  <r>
    <s v="ORD049"/>
    <s v="Varun Sharma"/>
    <x v="0"/>
    <x v="0"/>
    <s v="West"/>
    <x v="0"/>
    <x v="45"/>
    <n v="1"/>
    <n v="0"/>
    <n v="16000"/>
    <x v="0"/>
    <x v="5"/>
  </r>
  <r>
    <s v="ORD050"/>
    <s v="Wasim Reddy"/>
    <x v="1"/>
    <x v="1"/>
    <s v="South"/>
    <x v="4"/>
    <x v="46"/>
    <n v="3"/>
    <n v="0.1"/>
    <n v="2100"/>
    <x v="0"/>
    <x v="5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  <r>
    <m/>
    <m/>
    <x v="19"/>
    <x v="3"/>
    <m/>
    <x v="6"/>
    <x v="47"/>
    <m/>
    <m/>
    <m/>
    <x v="3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s v="Priya Sharma"/>
    <s v="Laptop"/>
    <s v="Electronics"/>
    <s v="West"/>
    <s v="Mumbai"/>
    <n v="85000"/>
    <n v="1"/>
    <n v="0.05"/>
    <n v="12000"/>
    <s v="Delivered"/>
    <x v="0"/>
  </r>
  <r>
    <s v="ORD002"/>
    <s v="Rahul Verma"/>
    <s v="Chair"/>
    <s v="Furniture"/>
    <s v="East"/>
    <s v="Kolkata"/>
    <n v="12000"/>
    <n v="4"/>
    <n v="0.1"/>
    <n v="1800"/>
    <s v="Pending"/>
    <x v="0"/>
  </r>
  <r>
    <s v="ORD003"/>
    <s v="Anita Rao"/>
    <s v="Notebook"/>
    <s v="Stationery"/>
    <s v="North"/>
    <s v="Delhi"/>
    <n v="500"/>
    <n v="20"/>
    <n v="0"/>
    <n v="120"/>
    <s v="Delivered"/>
    <x v="1"/>
  </r>
  <r>
    <s v="ORD004"/>
    <s v="Kiran Patel"/>
    <s v="Phone"/>
    <s v="Electronics"/>
    <s v="South"/>
    <s v="Chennai"/>
    <n v="45000"/>
    <n v="2"/>
    <n v="0.05"/>
    <n v="6500"/>
    <s v="Delivered"/>
    <x v="1"/>
  </r>
  <r>
    <s v="ORD005"/>
    <s v="Suresh Kumar"/>
    <s v="Desk"/>
    <s v="Furniture"/>
    <s v="West"/>
    <s v="Mumbai"/>
    <n v="27000"/>
    <n v="1"/>
    <n v="0.15"/>
    <n v="3200"/>
    <s v="Cancelled"/>
    <x v="2"/>
  </r>
  <r>
    <s v="ORD006"/>
    <s v="Meena Iyer"/>
    <s v="Pen Set"/>
    <s v="Stationery"/>
    <s v="East"/>
    <s v="Kolkata"/>
    <n v="300"/>
    <n v="50"/>
    <n v="0"/>
    <n v="80"/>
    <s v="Delivered"/>
    <x v="2"/>
  </r>
  <r>
    <s v="ORD007"/>
    <s v="Amit Singh"/>
    <s v="Tablet"/>
    <s v="Electronics"/>
    <s v="North"/>
    <s v="Delhi"/>
    <n v="32000"/>
    <n v="3"/>
    <n v="0.1"/>
    <n v="4800"/>
    <s v="Pending"/>
    <x v="2"/>
  </r>
  <r>
    <s v="ORD008"/>
    <s v="Divya Nair"/>
    <s v="Bookshelf"/>
    <s v="Furniture"/>
    <s v="South"/>
    <s v="Bangalore"/>
    <n v="18000"/>
    <n v="2"/>
    <n v="0.05"/>
    <n v="2400"/>
    <s v="Delivered"/>
    <x v="3"/>
  </r>
  <r>
    <s v="ORD009"/>
    <s v="Ravi Menon"/>
    <s v="Laptop"/>
    <s v="Electronics"/>
    <s v="East"/>
    <s v="Kolkata"/>
    <n v="87000"/>
    <n v="1"/>
    <n v="0"/>
    <n v="13000"/>
    <s v="Delivered"/>
    <x v="3"/>
  </r>
  <r>
    <s v="ORD010"/>
    <s v="Pooja Gupta"/>
    <s v="Stapler"/>
    <s v="Stationery"/>
    <s v="West"/>
    <s v="Mumbai"/>
    <n v="800"/>
    <n v="10"/>
    <n v="0"/>
    <n v="200"/>
    <s v="Delivered"/>
    <x v="3"/>
  </r>
  <r>
    <s v="ORD011"/>
    <s v="Vikram Joshi"/>
    <s v="Phone"/>
    <s v="Electronics"/>
    <s v="North"/>
    <s v="Delhi"/>
    <n v="46000"/>
    <n v="2"/>
    <n v="0.05"/>
    <n v="7000"/>
    <s v="Pending"/>
    <x v="4"/>
  </r>
  <r>
    <s v="ORD012"/>
    <s v="Sneha Pillai"/>
    <s v="Chair"/>
    <s v="Furniture"/>
    <s v="West"/>
    <s v="Mumbai"/>
    <n v="13000"/>
    <n v="3"/>
    <n v="0.1"/>
    <n v="1900"/>
    <s v="Delivered"/>
    <x v="4"/>
  </r>
  <r>
    <s v="ORD013"/>
    <s v="Arun Reddy"/>
    <s v="Notebook"/>
    <s v="Stationery"/>
    <s v="South"/>
    <s v="Bangalore"/>
    <n v="450"/>
    <n v="30"/>
    <n v="0"/>
    <n v="0"/>
    <s v="Cancelled"/>
    <x v="4"/>
  </r>
  <r>
    <s v="ORD014"/>
    <s v="Kavya Menon"/>
    <s v="Monitor"/>
    <s v="Electronics"/>
    <s v="East"/>
    <s v="Kolkata"/>
    <n v="22000"/>
    <n v="2"/>
    <n v="0.05"/>
    <n v="3100"/>
    <s v="Delivered"/>
    <x v="5"/>
  </r>
  <r>
    <s v="ORD015"/>
    <s v="Rajesh Kumar"/>
    <s v="Desk"/>
    <s v="Furniture"/>
    <s v="North"/>
    <s v="Delhi"/>
    <n v="27000"/>
    <n v="1"/>
    <n v="0.1"/>
    <n v="3600"/>
    <s v="Delivered"/>
    <x v="5"/>
  </r>
  <r>
    <s v="ORD016"/>
    <s v="Deepa Sharma"/>
    <s v="Tablet"/>
    <s v="Electronics"/>
    <s v="South"/>
    <s v="Chennai"/>
    <n v="33000"/>
    <n v="1"/>
    <n v="0"/>
    <n v="5000"/>
    <s v="Delivered"/>
    <x v="5"/>
  </r>
  <r>
    <s v="ORD017"/>
    <s v="Manoj Nair"/>
    <s v="Pen Set"/>
    <s v="Stationery"/>
    <s v="West"/>
    <s v="Mumbai"/>
    <n v="250"/>
    <n v="40"/>
    <n v="0"/>
    <n v="60"/>
    <s v="Pending"/>
    <x v="6"/>
  </r>
  <r>
    <s v="ORD018"/>
    <s v="Sunita Rao"/>
    <s v="Laptop"/>
    <s v="Electronics"/>
    <s v="South"/>
    <s v="Bangalore"/>
    <n v="90000"/>
    <n v="1"/>
    <n v="0.05"/>
    <n v="14000"/>
    <s v="Delivered"/>
    <x v="6"/>
  </r>
  <r>
    <s v="ORD019"/>
    <s v="Ganesh Iyer"/>
    <s v="Bookshelf"/>
    <s v="Furniture"/>
    <s v="East"/>
    <s v="Hyderabad"/>
    <n v="19000"/>
    <n v="1"/>
    <n v="0.1"/>
    <n v="2600"/>
    <s v="Delivered"/>
    <x v="6"/>
  </r>
  <r>
    <s v="ORD020"/>
    <s v="Lakshmi Patel"/>
    <s v="Monitor"/>
    <s v="Electronics"/>
    <s v="North"/>
    <s v="Delhi"/>
    <n v="23000"/>
    <n v="3"/>
    <n v="0"/>
    <n v="3400"/>
    <s v="Delivered"/>
    <x v="7"/>
  </r>
  <r>
    <s v="ORD021"/>
    <s v="Harish Verma"/>
    <s v="Keyboard"/>
    <s v="Electronics"/>
    <s v="West"/>
    <s v="Mumbai"/>
    <n v="3500"/>
    <n v="5"/>
    <n v="0.05"/>
    <n v="700"/>
    <s v="Delivered"/>
    <x v="7"/>
  </r>
  <r>
    <s v="ORD022"/>
    <s v="Nisha Kumar"/>
    <s v="Sofa"/>
    <s v="Furniture"/>
    <s v="South"/>
    <s v="Chennai"/>
    <n v="55000"/>
    <n v="1"/>
    <n v="0.15"/>
    <n v="6000"/>
    <s v="Delivered"/>
    <x v="7"/>
  </r>
  <r>
    <s v="ORD023"/>
    <s v="Prakash Singh"/>
    <s v="Eraser Pack"/>
    <s v="Stationery"/>
    <s v="East"/>
    <s v="Kolkata"/>
    <n v="150"/>
    <n v="100"/>
    <n v="0"/>
    <n v="40"/>
    <s v="Delivered"/>
    <x v="8"/>
  </r>
  <r>
    <s v="ORD024"/>
    <s v="Rekha Menon"/>
    <s v="Laptop"/>
    <s v="Electronics"/>
    <s v="North"/>
    <s v="Delhi"/>
    <n v="92000"/>
    <n v="1"/>
    <n v="0"/>
    <n v="15000"/>
    <s v="Delivered"/>
    <x v="8"/>
  </r>
  <r>
    <s v="ORD025"/>
    <s v="Sanjay Sharma"/>
    <s v="Filing Cabinet"/>
    <s v="Furniture"/>
    <s v="West"/>
    <s v="Mumbai"/>
    <n v="8500"/>
    <n v="2"/>
    <n v="0.1"/>
    <n v="1100"/>
    <s v="Pending"/>
    <x v="8"/>
  </r>
  <r>
    <s v="ORD026"/>
    <s v="Uma Reddy"/>
    <s v="Headphones"/>
    <s v="Electronics"/>
    <s v="South"/>
    <s v="Bangalore"/>
    <n v="4500"/>
    <n v="3"/>
    <n v="0.05"/>
    <n v="800"/>
    <s v="Delivered"/>
    <x v="9"/>
  </r>
  <r>
    <s v="ORD027"/>
    <s v="Vinod Nair"/>
    <s v="Marker Set"/>
    <s v="Stationery"/>
    <s v="East"/>
    <s v="Kolkata"/>
    <n v="600"/>
    <n v="20"/>
    <n v="0"/>
    <n v="150"/>
    <s v="Delivered"/>
    <x v="9"/>
  </r>
  <r>
    <s v="ORD028"/>
    <s v="Arjun Patel"/>
    <s v="Phone"/>
    <s v="Electronics"/>
    <s v="North"/>
    <s v="Delhi"/>
    <n v="48000"/>
    <n v="2"/>
    <n v="0.05"/>
    <n v="7500"/>
    <s v="Cancelled"/>
    <x v="9"/>
  </r>
  <r>
    <s v="ORD029"/>
    <s v="Bhavna Iyer"/>
    <s v="Chair"/>
    <s v="Furniture"/>
    <s v="West"/>
    <s v="Mumbai"/>
    <n v="14000"/>
    <n v="2"/>
    <n v="0.1"/>
    <n v="2000"/>
    <s v="Delivered"/>
    <x v="10"/>
  </r>
  <r>
    <s v="ORD030"/>
    <s v="Chetan Kumar"/>
    <s v="Tablet"/>
    <s v="Electronics"/>
    <s v="South"/>
    <s v="Chennai"/>
    <n v="35000"/>
    <n v="1"/>
    <n v="0"/>
    <n v="5500"/>
    <s v="Pending"/>
    <x v="10"/>
  </r>
  <r>
    <s v="ORD031"/>
    <s v="Deepak Rao"/>
    <s v="Notepad"/>
    <s v="Stationery"/>
    <s v="East"/>
    <s v="Kolkata"/>
    <n v="400"/>
    <n v="25"/>
    <n v="0"/>
    <n v="90"/>
    <s v="Delivered"/>
    <x v="10"/>
  </r>
  <r>
    <s v="ORD032"/>
    <s v="Esha Sharma"/>
    <s v="Laptop"/>
    <s v="Electronics"/>
    <s v="North"/>
    <s v="Delhi"/>
    <n v="88000"/>
    <n v="1"/>
    <n v="0.05"/>
    <n v="13500"/>
    <s v="Delivered"/>
    <x v="11"/>
  </r>
  <r>
    <s v="ORD033"/>
    <s v="Farhan Verma"/>
    <s v="Wardrobe"/>
    <s v="Furniture"/>
    <s v="West"/>
    <s v="Mumbai"/>
    <n v="65000"/>
    <n v="1"/>
    <n v="0.1"/>
    <n v="7000"/>
    <s v="Delivered"/>
    <x v="11"/>
  </r>
  <r>
    <s v="ORD034"/>
    <s v="Gita Menon"/>
    <s v="Printer"/>
    <s v="Electronics"/>
    <s v="South"/>
    <s v="Bangalore"/>
    <n v="18000"/>
    <n v="1"/>
    <n v="0.15"/>
    <n v="2200"/>
    <s v="Delivered"/>
    <x v="11"/>
  </r>
  <r>
    <s v="ORD035"/>
    <s v="Hari Singh"/>
    <s v="Pen Set"/>
    <s v="Stationery"/>
    <s v="East"/>
    <s v="Kolkata"/>
    <n v="350"/>
    <n v="30"/>
    <n v="0"/>
    <n v="85"/>
    <s v="Delivered"/>
    <x v="0"/>
  </r>
  <r>
    <s v="ORD036"/>
    <s v="Indira Patel"/>
    <s v="Monitor"/>
    <s v="Electronics"/>
    <s v="North"/>
    <s v="Delhi"/>
    <n v="24000"/>
    <n v="2"/>
    <n v="0.05"/>
    <n v="3600"/>
    <s v="Delivered"/>
    <x v="0"/>
  </r>
  <r>
    <s v="ORD037"/>
    <s v="Jayesh Nair"/>
    <s v="Bookshelf"/>
    <s v="Furniture"/>
    <s v="West"/>
    <s v="Mumbai"/>
    <n v="21000"/>
    <n v="1"/>
    <n v="0.1"/>
    <n v="2800"/>
    <s v="Delivered"/>
    <x v="1"/>
  </r>
  <r>
    <s v="ORD038"/>
    <s v="Kavitha Iyer"/>
    <s v="Keyboard"/>
    <s v="Electronics"/>
    <s v="South"/>
    <s v="Chennai"/>
    <n v="3800"/>
    <n v="4"/>
    <n v="0"/>
    <n v="750"/>
    <s v="Pending"/>
    <x v="1"/>
  </r>
  <r>
    <s v="ORD039"/>
    <s v="Lokesh Kumar"/>
    <s v="Eraser Pack"/>
    <s v="Stationery"/>
    <s v="East"/>
    <s v="Kolkata"/>
    <n v="200"/>
    <n v="80"/>
    <n v="0"/>
    <n v="50"/>
    <s v="Delivered"/>
    <x v="1"/>
  </r>
  <r>
    <s v="ORD040"/>
    <s v="Mala Reddy"/>
    <s v="Sofa"/>
    <s v="Furniture"/>
    <s v="North"/>
    <s v="Delhi"/>
    <n v="58000"/>
    <n v="1"/>
    <n v="0.15"/>
    <n v="6500"/>
    <s v="Delivered"/>
    <x v="2"/>
  </r>
  <r>
    <s v="ORD041"/>
    <s v="Naveen Sharma"/>
    <s v="Headphones"/>
    <s v="Electronics"/>
    <s v="West"/>
    <s v="Mumbai"/>
    <n v="5000"/>
    <n v="2"/>
    <n v="0.05"/>
    <n v="900"/>
    <s v="Delivered"/>
    <x v="2"/>
  </r>
  <r>
    <s v="ORD042"/>
    <s v="Omkar Verma"/>
    <s v="Stapler"/>
    <s v="Stationery"/>
    <s v="South"/>
    <s v="Bangalore"/>
    <n v="900"/>
    <n v="8"/>
    <n v="0"/>
    <n v="220"/>
    <s v="Cancelled"/>
    <x v="2"/>
  </r>
  <r>
    <s v="ORD043"/>
    <s v="Parveen Nair"/>
    <s v="Desk"/>
    <s v="Furniture"/>
    <s v="East"/>
    <s v="Kolkata"/>
    <n v="29000"/>
    <n v="1"/>
    <n v="0.1"/>
    <n v="3800"/>
    <s v="Delivered"/>
    <x v="3"/>
  </r>
  <r>
    <s v="ORD044"/>
    <s v="Qureshi Patel"/>
    <s v="Tablet"/>
    <s v="Electronics"/>
    <s v="North"/>
    <s v="Delhi"/>
    <n v="36000"/>
    <n v="1"/>
    <n v="0"/>
    <n v="5800"/>
    <s v="Delivered"/>
    <x v="3"/>
  </r>
  <r>
    <s v="ORD045"/>
    <s v="Radha Iyer"/>
    <s v="Marker Set"/>
    <s v="Stationery"/>
    <s v="West"/>
    <s v="Mumbai"/>
    <n v="700"/>
    <n v="15"/>
    <n v="0"/>
    <n v="180"/>
    <s v="Delivered"/>
    <x v="3"/>
  </r>
  <r>
    <s v="ORD046"/>
    <s v="Suresh Menon"/>
    <s v="Phone"/>
    <s v="Electronics"/>
    <s v="South"/>
    <s v="Chennai"/>
    <n v="52000"/>
    <n v="2"/>
    <n v="0.05"/>
    <n v="8000"/>
    <s v="Delivered"/>
    <x v="4"/>
  </r>
  <r>
    <s v="ORD047"/>
    <s v="Tara Kumar"/>
    <s v="Filing Cabinet"/>
    <s v="Furniture"/>
    <s v="East"/>
    <s v="Kolkata"/>
    <n v="9000"/>
    <n v="1"/>
    <n v="0.1"/>
    <n v="1200"/>
    <s v="Pending"/>
    <x v="4"/>
  </r>
  <r>
    <s v="ORD048"/>
    <s v="Uma Singh"/>
    <s v="Notepad"/>
    <s v="Stationery"/>
    <s v="North"/>
    <s v="Delhi"/>
    <n v="350"/>
    <n v="20"/>
    <n v="0"/>
    <n v="3100"/>
    <s v="Delivered"/>
    <x v="4"/>
  </r>
  <r>
    <s v="ORD049"/>
    <s v="Varun Sharma"/>
    <s v="Laptop"/>
    <s v="Electronics"/>
    <s v="West"/>
    <s v="Mumbai"/>
    <n v="95000"/>
    <n v="1"/>
    <n v="0"/>
    <n v="16000"/>
    <s v="Delivered"/>
    <x v="5"/>
  </r>
  <r>
    <s v="ORD050"/>
    <s v="Wasim Reddy"/>
    <s v="Chair"/>
    <s v="Furniture"/>
    <s v="South"/>
    <s v="Bangalore"/>
    <n v="15000"/>
    <n v="3"/>
    <n v="0.1"/>
    <n v="2100"/>
    <s v="Delivered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6F95F-3911-448B-AB8E-F44215DB31D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C54" firstHeaderRow="0" firstDataRow="1" firstDataCol="1"/>
  <pivotFields count="12">
    <pivotField showAll="0"/>
    <pivotField showAll="0"/>
    <pivotField axis="axisRow" showAll="0">
      <items count="21">
        <item x="7"/>
        <item x="1"/>
        <item x="4"/>
        <item x="12"/>
        <item x="13"/>
        <item x="14"/>
        <item x="10"/>
        <item x="0"/>
        <item x="15"/>
        <item x="9"/>
        <item x="2"/>
        <item x="16"/>
        <item x="5"/>
        <item x="3"/>
        <item x="18"/>
        <item x="11"/>
        <item x="8"/>
        <item x="6"/>
        <item x="17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2" baseItem="0"/>
    <dataField name="Average of Discount" fld="8" subtotal="average" baseField="2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0CCF6-6B38-4916-BE70-1AD43327B7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F21" firstHeaderRow="1" firstDataRow="2" firstDataCol="1"/>
  <pivotFields count="12">
    <pivotField dataField="1"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1"/>
        <item x="0"/>
        <item x="6"/>
        <item t="default"/>
      </items>
    </pivotField>
    <pivotField showAll="0">
      <items count="49">
        <item x="21"/>
        <item x="36"/>
        <item x="15"/>
        <item x="5"/>
        <item x="32"/>
        <item x="29"/>
        <item x="12"/>
        <item x="2"/>
        <item x="25"/>
        <item x="42"/>
        <item x="9"/>
        <item x="39"/>
        <item x="19"/>
        <item x="35"/>
        <item x="24"/>
        <item x="38"/>
        <item x="23"/>
        <item x="44"/>
        <item x="1"/>
        <item x="11"/>
        <item x="27"/>
        <item x="46"/>
        <item x="7"/>
        <item x="17"/>
        <item x="34"/>
        <item x="13"/>
        <item x="18"/>
        <item x="33"/>
        <item x="4"/>
        <item x="40"/>
        <item x="6"/>
        <item x="14"/>
        <item x="28"/>
        <item x="41"/>
        <item x="3"/>
        <item x="10"/>
        <item x="26"/>
        <item x="43"/>
        <item x="20"/>
        <item x="37"/>
        <item x="31"/>
        <item x="0"/>
        <item x="8"/>
        <item x="30"/>
        <item x="16"/>
        <item x="22"/>
        <item x="45"/>
        <item x="47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A685F-BD48-4959-B23F-389061F35188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O9" firstHeaderRow="1" firstDataRow="2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49">
        <item x="21"/>
        <item x="36"/>
        <item x="15"/>
        <item x="5"/>
        <item x="32"/>
        <item x="29"/>
        <item x="12"/>
        <item x="2"/>
        <item x="25"/>
        <item x="42"/>
        <item x="9"/>
        <item x="39"/>
        <item x="19"/>
        <item x="35"/>
        <item x="24"/>
        <item x="38"/>
        <item x="23"/>
        <item x="44"/>
        <item x="1"/>
        <item x="11"/>
        <item x="27"/>
        <item x="46"/>
        <item x="7"/>
        <item x="17"/>
        <item x="34"/>
        <item x="13"/>
        <item x="18"/>
        <item x="33"/>
        <item x="4"/>
        <item x="40"/>
        <item x="6"/>
        <item x="14"/>
        <item x="28"/>
        <item x="41"/>
        <item x="3"/>
        <item x="10"/>
        <item x="26"/>
        <item x="43"/>
        <item x="20"/>
        <item x="37"/>
        <item x="31"/>
        <item x="0"/>
        <item x="8"/>
        <item x="30"/>
        <item x="16"/>
        <item x="22"/>
        <item x="45"/>
        <item x="47"/>
        <item t="default"/>
      </items>
    </pivotField>
    <pivotField showAll="0"/>
    <pivotField showAll="0"/>
    <pivotField showAll="0"/>
    <pivotField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6" baseField="0" baseItem="0"/>
  </dataFields>
  <formats count="1">
    <format dxfId="1">
      <pivotArea dataOnly="0" labelOnly="1" fieldPosition="0">
        <references count="1"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E0870-0782-45C2-86C2-7F761654C7C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9:B7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0AE6-468B-4C27-99BB-61E5544FA07F}">
  <dimension ref="A3:AF72"/>
  <sheetViews>
    <sheetView tabSelected="1" topLeftCell="A28" workbookViewId="0">
      <selection activeCell="D37" sqref="D37:H41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7.33203125" bestFit="1" customWidth="1"/>
    <col min="4" max="8" width="7" bestFit="1" customWidth="1"/>
    <col min="9" max="9" width="6.5546875" bestFit="1" customWidth="1"/>
    <col min="10" max="10" width="10.33203125" bestFit="1" customWidth="1"/>
    <col min="11" max="11" width="7.77734375" bestFit="1" customWidth="1"/>
    <col min="12" max="13" width="9.6640625" bestFit="1" customWidth="1"/>
    <col min="14" max="14" width="7" bestFit="1" customWidth="1"/>
    <col min="15" max="15" width="10.5546875" bestFit="1" customWidth="1"/>
  </cols>
  <sheetData>
    <row r="3" spans="1:32" x14ac:dyDescent="0.3">
      <c r="A3" s="2" t="s">
        <v>51</v>
      </c>
      <c r="B3" s="2" t="s">
        <v>169</v>
      </c>
    </row>
    <row r="4" spans="1:32" x14ac:dyDescent="0.3">
      <c r="A4" s="2" t="s">
        <v>49</v>
      </c>
      <c r="B4" t="s">
        <v>60</v>
      </c>
      <c r="C4" t="s">
        <v>65</v>
      </c>
      <c r="D4" t="s">
        <v>69</v>
      </c>
      <c r="E4" t="s">
        <v>74</v>
      </c>
      <c r="F4" t="s">
        <v>78</v>
      </c>
      <c r="G4" t="s">
        <v>82</v>
      </c>
      <c r="H4" t="s">
        <v>87</v>
      </c>
      <c r="I4" t="s">
        <v>92</v>
      </c>
      <c r="J4" t="s">
        <v>102</v>
      </c>
      <c r="K4" t="s">
        <v>111</v>
      </c>
      <c r="L4" t="s">
        <v>119</v>
      </c>
      <c r="M4" t="s">
        <v>127</v>
      </c>
      <c r="N4" t="s">
        <v>168</v>
      </c>
      <c r="O4" t="s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">
      <c r="A5" s="3" t="s">
        <v>18</v>
      </c>
      <c r="B5">
        <v>109000</v>
      </c>
      <c r="C5">
        <v>48800</v>
      </c>
      <c r="D5">
        <v>37000</v>
      </c>
      <c r="E5">
        <v>123000</v>
      </c>
      <c r="F5">
        <v>98000</v>
      </c>
      <c r="G5">
        <v>150000</v>
      </c>
      <c r="H5">
        <v>90000</v>
      </c>
      <c r="I5">
        <v>26500</v>
      </c>
      <c r="J5">
        <v>92000</v>
      </c>
      <c r="K5">
        <v>52500</v>
      </c>
      <c r="L5">
        <v>35000</v>
      </c>
      <c r="M5">
        <v>106000</v>
      </c>
      <c r="N5">
        <v>0</v>
      </c>
      <c r="O5">
        <v>967800</v>
      </c>
    </row>
    <row r="6" spans="1:32" x14ac:dyDescent="0.3">
      <c r="A6" s="3" t="s">
        <v>21</v>
      </c>
      <c r="B6">
        <v>12000</v>
      </c>
      <c r="C6">
        <v>21000</v>
      </c>
      <c r="D6">
        <v>85000</v>
      </c>
      <c r="E6">
        <v>47000</v>
      </c>
      <c r="F6">
        <v>22000</v>
      </c>
      <c r="G6">
        <v>42000</v>
      </c>
      <c r="H6">
        <v>19000</v>
      </c>
      <c r="I6">
        <v>55000</v>
      </c>
      <c r="J6">
        <v>8500</v>
      </c>
      <c r="K6">
        <v>0</v>
      </c>
      <c r="L6">
        <v>14000</v>
      </c>
      <c r="M6">
        <v>65000</v>
      </c>
      <c r="N6">
        <v>0</v>
      </c>
      <c r="O6">
        <v>390500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2" x14ac:dyDescent="0.3">
      <c r="A7" s="3" t="s">
        <v>29</v>
      </c>
      <c r="B7">
        <v>350</v>
      </c>
      <c r="C7">
        <v>700</v>
      </c>
      <c r="D7">
        <v>1200</v>
      </c>
      <c r="E7">
        <v>1500</v>
      </c>
      <c r="F7">
        <v>800</v>
      </c>
      <c r="G7">
        <v>0</v>
      </c>
      <c r="H7">
        <v>250</v>
      </c>
      <c r="I7">
        <v>0</v>
      </c>
      <c r="J7">
        <v>150</v>
      </c>
      <c r="K7">
        <v>600</v>
      </c>
      <c r="L7">
        <v>400</v>
      </c>
      <c r="M7">
        <v>0</v>
      </c>
      <c r="N7">
        <v>0</v>
      </c>
      <c r="O7">
        <v>5950</v>
      </c>
    </row>
    <row r="8" spans="1:32" x14ac:dyDescent="0.3">
      <c r="A8" s="3" t="s">
        <v>168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32" x14ac:dyDescent="0.3">
      <c r="A9" s="3" t="s">
        <v>50</v>
      </c>
      <c r="B9">
        <v>121350</v>
      </c>
      <c r="C9">
        <v>70500</v>
      </c>
      <c r="D9">
        <v>123200</v>
      </c>
      <c r="E9">
        <v>171500</v>
      </c>
      <c r="F9">
        <v>120800</v>
      </c>
      <c r="G9">
        <v>192000</v>
      </c>
      <c r="H9">
        <v>109250</v>
      </c>
      <c r="I9">
        <v>81500</v>
      </c>
      <c r="J9">
        <v>100650</v>
      </c>
      <c r="K9">
        <v>53100</v>
      </c>
      <c r="L9">
        <v>49400</v>
      </c>
      <c r="M9">
        <v>171000</v>
      </c>
      <c r="N9">
        <v>0</v>
      </c>
      <c r="O9">
        <v>1364250</v>
      </c>
    </row>
    <row r="12" spans="1:32" x14ac:dyDescent="0.3">
      <c r="A12" s="2" t="s">
        <v>53</v>
      </c>
      <c r="B12" s="2" t="s">
        <v>169</v>
      </c>
    </row>
    <row r="13" spans="1:32" x14ac:dyDescent="0.3">
      <c r="A13" s="2" t="s">
        <v>49</v>
      </c>
      <c r="B13" t="s">
        <v>27</v>
      </c>
      <c r="C13" t="s">
        <v>20</v>
      </c>
      <c r="D13" t="s">
        <v>33</v>
      </c>
      <c r="E13" t="s">
        <v>168</v>
      </c>
      <c r="F13" t="s">
        <v>50</v>
      </c>
    </row>
    <row r="14" spans="1:32" x14ac:dyDescent="0.3">
      <c r="A14" s="3" t="s">
        <v>73</v>
      </c>
      <c r="B14">
        <v>2</v>
      </c>
      <c r="C14">
        <v>5</v>
      </c>
      <c r="F14">
        <v>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32" x14ac:dyDescent="0.3">
      <c r="A15" s="3" t="s">
        <v>67</v>
      </c>
      <c r="C15">
        <v>4</v>
      </c>
      <c r="D15">
        <v>2</v>
      </c>
      <c r="F15">
        <v>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32" x14ac:dyDescent="0.3">
      <c r="A16" s="3" t="s">
        <v>64</v>
      </c>
      <c r="B16">
        <v>1</v>
      </c>
      <c r="C16">
        <v>9</v>
      </c>
      <c r="D16">
        <v>2</v>
      </c>
      <c r="F16">
        <v>12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8" x14ac:dyDescent="0.3">
      <c r="A17" s="3" t="s">
        <v>90</v>
      </c>
      <c r="C17">
        <v>1</v>
      </c>
      <c r="F17">
        <v>1</v>
      </c>
    </row>
    <row r="18" spans="1:18" x14ac:dyDescent="0.3">
      <c r="A18" s="3" t="s">
        <v>62</v>
      </c>
      <c r="C18">
        <v>9</v>
      </c>
      <c r="D18">
        <v>2</v>
      </c>
      <c r="F18">
        <v>11</v>
      </c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s="3" t="s">
        <v>59</v>
      </c>
      <c r="B19">
        <v>1</v>
      </c>
      <c r="C19">
        <v>10</v>
      </c>
      <c r="D19">
        <v>2</v>
      </c>
      <c r="F19">
        <v>13</v>
      </c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3" t="s">
        <v>168</v>
      </c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3" t="s">
        <v>50</v>
      </c>
      <c r="B21">
        <v>4</v>
      </c>
      <c r="C21">
        <v>38</v>
      </c>
      <c r="D21">
        <v>8</v>
      </c>
      <c r="F21">
        <v>50</v>
      </c>
    </row>
    <row r="33" spans="1:6" x14ac:dyDescent="0.3">
      <c r="A33" s="2" t="s">
        <v>49</v>
      </c>
      <c r="B33" t="s">
        <v>52</v>
      </c>
      <c r="C33" t="s">
        <v>170</v>
      </c>
    </row>
    <row r="34" spans="1:6" x14ac:dyDescent="0.3">
      <c r="A34" s="3" t="s">
        <v>35</v>
      </c>
      <c r="B34">
        <v>7800</v>
      </c>
      <c r="C34" s="4">
        <v>8.3333333333333329E-2</v>
      </c>
    </row>
    <row r="35" spans="1:6" x14ac:dyDescent="0.3">
      <c r="A35" s="3" t="s">
        <v>40</v>
      </c>
      <c r="B35">
        <v>7800</v>
      </c>
      <c r="C35" s="4">
        <v>0.1</v>
      </c>
    </row>
    <row r="36" spans="1:6" x14ac:dyDescent="0.3">
      <c r="A36" s="3" t="s">
        <v>26</v>
      </c>
      <c r="B36">
        <v>10600</v>
      </c>
      <c r="C36" s="4">
        <v>0.11666666666666665</v>
      </c>
    </row>
    <row r="37" spans="1:6" x14ac:dyDescent="0.3">
      <c r="A37" s="3" t="s">
        <v>101</v>
      </c>
      <c r="B37">
        <v>90</v>
      </c>
      <c r="C37" s="4">
        <v>0</v>
      </c>
    </row>
    <row r="38" spans="1:6" x14ac:dyDescent="0.3">
      <c r="A38" s="3" t="s">
        <v>107</v>
      </c>
      <c r="B38">
        <v>2300</v>
      </c>
      <c r="C38" s="4">
        <v>0.1</v>
      </c>
    </row>
    <row r="39" spans="1:6" x14ac:dyDescent="0.3">
      <c r="A39" s="3" t="s">
        <v>110</v>
      </c>
      <c r="B39">
        <v>1700</v>
      </c>
      <c r="C39" s="4">
        <v>0.05</v>
      </c>
    </row>
    <row r="40" spans="1:6" x14ac:dyDescent="0.3">
      <c r="A40" s="3" t="s">
        <v>95</v>
      </c>
      <c r="B40">
        <v>1450</v>
      </c>
      <c r="C40" s="4">
        <v>2.5000000000000001E-2</v>
      </c>
    </row>
    <row r="41" spans="1:6" x14ac:dyDescent="0.3">
      <c r="A41" s="3" t="s">
        <v>17</v>
      </c>
      <c r="B41">
        <v>83500</v>
      </c>
      <c r="C41" s="4">
        <v>2.5000000000000005E-2</v>
      </c>
    </row>
    <row r="42" spans="1:6" x14ac:dyDescent="0.3">
      <c r="A42" s="3" t="s">
        <v>114</v>
      </c>
      <c r="B42">
        <v>330</v>
      </c>
      <c r="C42" s="4">
        <v>0</v>
      </c>
    </row>
    <row r="43" spans="1:6" x14ac:dyDescent="0.3">
      <c r="A43" s="3" t="s">
        <v>42</v>
      </c>
      <c r="B43">
        <v>10100</v>
      </c>
      <c r="C43" s="4">
        <v>3.3333333333333333E-2</v>
      </c>
    </row>
    <row r="44" spans="1:6" x14ac:dyDescent="0.3">
      <c r="A44" s="3" t="s">
        <v>23</v>
      </c>
      <c r="B44">
        <v>120</v>
      </c>
      <c r="C44" s="4">
        <v>0</v>
      </c>
    </row>
    <row r="45" spans="1:6" x14ac:dyDescent="0.3">
      <c r="A45" s="3" t="s">
        <v>124</v>
      </c>
      <c r="B45">
        <v>3190</v>
      </c>
      <c r="C45" s="4">
        <v>0</v>
      </c>
    </row>
    <row r="46" spans="1:6" x14ac:dyDescent="0.3">
      <c r="A46" s="3" t="s">
        <v>28</v>
      </c>
      <c r="B46">
        <v>225</v>
      </c>
      <c r="C46" s="4">
        <v>0</v>
      </c>
      <c r="F46">
        <f>SUMIF(K:K,"Cancelled",G:G)</f>
        <v>0</v>
      </c>
    </row>
    <row r="47" spans="1:6" x14ac:dyDescent="0.3">
      <c r="A47" s="3" t="s">
        <v>25</v>
      </c>
      <c r="B47">
        <v>29000</v>
      </c>
      <c r="C47" s="4">
        <v>0.05</v>
      </c>
    </row>
    <row r="48" spans="1:6" x14ac:dyDescent="0.3">
      <c r="A48" s="3" t="s">
        <v>133</v>
      </c>
      <c r="B48">
        <v>2200</v>
      </c>
      <c r="C48" s="4">
        <v>0.15</v>
      </c>
    </row>
    <row r="49" spans="1:3" x14ac:dyDescent="0.3">
      <c r="A49" s="3" t="s">
        <v>98</v>
      </c>
      <c r="B49">
        <v>12500</v>
      </c>
      <c r="C49" s="4">
        <v>0.15</v>
      </c>
    </row>
    <row r="50" spans="1:3" x14ac:dyDescent="0.3">
      <c r="A50" s="3" t="s">
        <v>38</v>
      </c>
      <c r="B50">
        <v>420</v>
      </c>
      <c r="C50" s="4">
        <v>0</v>
      </c>
    </row>
    <row r="51" spans="1:3" x14ac:dyDescent="0.3">
      <c r="A51" s="3" t="s">
        <v>45</v>
      </c>
      <c r="B51">
        <v>21100</v>
      </c>
      <c r="C51" s="4">
        <v>2.5000000000000001E-2</v>
      </c>
    </row>
    <row r="52" spans="1:3" x14ac:dyDescent="0.3">
      <c r="A52" s="3" t="s">
        <v>130</v>
      </c>
      <c r="B52">
        <v>7000</v>
      </c>
      <c r="C52" s="4">
        <v>0.1</v>
      </c>
    </row>
    <row r="53" spans="1:3" x14ac:dyDescent="0.3">
      <c r="A53" s="3" t="s">
        <v>168</v>
      </c>
    </row>
    <row r="54" spans="1:3" x14ac:dyDescent="0.3">
      <c r="A54" s="3" t="s">
        <v>50</v>
      </c>
      <c r="B54">
        <v>201425</v>
      </c>
      <c r="C54">
        <v>4.9000000000000016E-2</v>
      </c>
    </row>
    <row r="59" spans="1:3" x14ac:dyDescent="0.3">
      <c r="A59" s="2" t="s">
        <v>49</v>
      </c>
      <c r="B59" t="s">
        <v>51</v>
      </c>
    </row>
    <row r="60" spans="1:3" x14ac:dyDescent="0.3">
      <c r="A60" s="3" t="s">
        <v>60</v>
      </c>
      <c r="B60">
        <v>121350</v>
      </c>
    </row>
    <row r="61" spans="1:3" x14ac:dyDescent="0.3">
      <c r="A61" s="3" t="s">
        <v>65</v>
      </c>
      <c r="B61">
        <v>70500</v>
      </c>
    </row>
    <row r="62" spans="1:3" x14ac:dyDescent="0.3">
      <c r="A62" s="3" t="s">
        <v>69</v>
      </c>
      <c r="B62">
        <v>123200</v>
      </c>
    </row>
    <row r="63" spans="1:3" x14ac:dyDescent="0.3">
      <c r="A63" s="3" t="s">
        <v>74</v>
      </c>
      <c r="B63">
        <v>171500</v>
      </c>
    </row>
    <row r="64" spans="1:3" x14ac:dyDescent="0.3">
      <c r="A64" s="3" t="s">
        <v>78</v>
      </c>
      <c r="B64">
        <v>120800</v>
      </c>
    </row>
    <row r="65" spans="1:2" x14ac:dyDescent="0.3">
      <c r="A65" s="3" t="s">
        <v>82</v>
      </c>
      <c r="B65">
        <v>192000</v>
      </c>
    </row>
    <row r="66" spans="1:2" x14ac:dyDescent="0.3">
      <c r="A66" s="3" t="s">
        <v>87</v>
      </c>
      <c r="B66">
        <v>109250</v>
      </c>
    </row>
    <row r="67" spans="1:2" x14ac:dyDescent="0.3">
      <c r="A67" s="3" t="s">
        <v>92</v>
      </c>
      <c r="B67">
        <v>81500</v>
      </c>
    </row>
    <row r="68" spans="1:2" x14ac:dyDescent="0.3">
      <c r="A68" s="3" t="s">
        <v>102</v>
      </c>
      <c r="B68">
        <v>100650</v>
      </c>
    </row>
    <row r="69" spans="1:2" x14ac:dyDescent="0.3">
      <c r="A69" s="3" t="s">
        <v>111</v>
      </c>
      <c r="B69">
        <v>53100</v>
      </c>
    </row>
    <row r="70" spans="1:2" x14ac:dyDescent="0.3">
      <c r="A70" s="3" t="s">
        <v>119</v>
      </c>
      <c r="B70">
        <v>49400</v>
      </c>
    </row>
    <row r="71" spans="1:2" x14ac:dyDescent="0.3">
      <c r="A71" s="3" t="s">
        <v>127</v>
      </c>
      <c r="B71">
        <v>171000</v>
      </c>
    </row>
    <row r="72" spans="1:2" x14ac:dyDescent="0.3">
      <c r="A72" s="3" t="s">
        <v>50</v>
      </c>
      <c r="B72">
        <v>1364250</v>
      </c>
    </row>
  </sheetData>
  <sortState xmlns:xlrd2="http://schemas.microsoft.com/office/spreadsheetml/2017/richdata2" columnSort="1" ref="A33:C54">
    <sortCondition descending="1" ref="B33"/>
  </sortState>
  <mergeCells count="6">
    <mergeCell ref="I18:R20"/>
    <mergeCell ref="Q4:AF4"/>
    <mergeCell ref="Q6:AD6"/>
    <mergeCell ref="I14:T14"/>
    <mergeCell ref="I15:T15"/>
    <mergeCell ref="I16:T16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EBC1-37EA-4CD6-AFB1-DAD27505B746}">
  <dimension ref="A1:L60"/>
  <sheetViews>
    <sheetView workbookViewId="0">
      <selection activeCell="Q17" sqref="Q17:Q21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.5546875" bestFit="1" customWidth="1"/>
  </cols>
  <sheetData>
    <row r="1" spans="1:12" x14ac:dyDescent="0.3">
      <c r="A1" t="s">
        <v>8</v>
      </c>
      <c r="B1" t="s">
        <v>54</v>
      </c>
      <c r="C1" t="s">
        <v>9</v>
      </c>
      <c r="D1" t="s">
        <v>10</v>
      </c>
      <c r="E1" t="s">
        <v>11</v>
      </c>
      <c r="F1" t="s">
        <v>55</v>
      </c>
      <c r="G1" t="s">
        <v>12</v>
      </c>
      <c r="H1" t="s">
        <v>13</v>
      </c>
      <c r="I1" t="s">
        <v>56</v>
      </c>
      <c r="J1" t="s">
        <v>14</v>
      </c>
      <c r="K1" t="s">
        <v>15</v>
      </c>
      <c r="L1" t="s">
        <v>57</v>
      </c>
    </row>
    <row r="2" spans="1:12" x14ac:dyDescent="0.3">
      <c r="A2" t="s">
        <v>16</v>
      </c>
      <c r="B2" t="s">
        <v>58</v>
      </c>
      <c r="C2" t="s">
        <v>17</v>
      </c>
      <c r="D2" t="s">
        <v>18</v>
      </c>
      <c r="E2" t="s">
        <v>19</v>
      </c>
      <c r="F2" t="s">
        <v>59</v>
      </c>
      <c r="G2">
        <v>85000</v>
      </c>
      <c r="H2">
        <v>1</v>
      </c>
      <c r="I2">
        <v>0.05</v>
      </c>
      <c r="J2">
        <v>12000</v>
      </c>
      <c r="K2" t="s">
        <v>20</v>
      </c>
      <c r="L2" t="s">
        <v>60</v>
      </c>
    </row>
    <row r="3" spans="1:12" x14ac:dyDescent="0.3">
      <c r="A3" t="s">
        <v>0</v>
      </c>
      <c r="B3" t="s">
        <v>61</v>
      </c>
      <c r="C3" t="s">
        <v>40</v>
      </c>
      <c r="D3" t="s">
        <v>21</v>
      </c>
      <c r="E3" t="s">
        <v>30</v>
      </c>
      <c r="F3" t="s">
        <v>62</v>
      </c>
      <c r="G3">
        <v>12000</v>
      </c>
      <c r="H3">
        <v>4</v>
      </c>
      <c r="I3">
        <v>0.1</v>
      </c>
      <c r="J3">
        <v>1800</v>
      </c>
      <c r="K3" t="s">
        <v>33</v>
      </c>
      <c r="L3" t="s">
        <v>60</v>
      </c>
    </row>
    <row r="4" spans="1:12" x14ac:dyDescent="0.3">
      <c r="A4" t="s">
        <v>22</v>
      </c>
      <c r="B4" t="s">
        <v>63</v>
      </c>
      <c r="C4" t="s">
        <v>23</v>
      </c>
      <c r="D4" t="s">
        <v>29</v>
      </c>
      <c r="E4" t="s">
        <v>24</v>
      </c>
      <c r="F4" t="s">
        <v>64</v>
      </c>
      <c r="G4">
        <v>500</v>
      </c>
      <c r="H4">
        <v>20</v>
      </c>
      <c r="I4">
        <v>0</v>
      </c>
      <c r="J4">
        <v>120</v>
      </c>
      <c r="K4" t="s">
        <v>20</v>
      </c>
      <c r="L4" t="s">
        <v>65</v>
      </c>
    </row>
    <row r="5" spans="1:12" x14ac:dyDescent="0.3">
      <c r="A5" t="s">
        <v>1</v>
      </c>
      <c r="B5" t="s">
        <v>66</v>
      </c>
      <c r="C5" t="s">
        <v>25</v>
      </c>
      <c r="D5" t="s">
        <v>18</v>
      </c>
      <c r="E5" t="s">
        <v>36</v>
      </c>
      <c r="F5" t="s">
        <v>67</v>
      </c>
      <c r="G5">
        <v>45000</v>
      </c>
      <c r="H5">
        <v>2</v>
      </c>
      <c r="I5">
        <v>0.05</v>
      </c>
      <c r="J5">
        <v>6500</v>
      </c>
      <c r="K5" t="s">
        <v>20</v>
      </c>
      <c r="L5" t="s">
        <v>65</v>
      </c>
    </row>
    <row r="6" spans="1:12" x14ac:dyDescent="0.3">
      <c r="A6" t="s">
        <v>2</v>
      </c>
      <c r="B6" t="s">
        <v>68</v>
      </c>
      <c r="C6" t="s">
        <v>26</v>
      </c>
      <c r="D6" t="s">
        <v>21</v>
      </c>
      <c r="E6" t="s">
        <v>19</v>
      </c>
      <c r="F6" t="s">
        <v>59</v>
      </c>
      <c r="G6">
        <v>27000</v>
      </c>
      <c r="H6">
        <v>1</v>
      </c>
      <c r="I6">
        <v>0.15</v>
      </c>
      <c r="J6">
        <v>3200</v>
      </c>
      <c r="K6" t="s">
        <v>27</v>
      </c>
      <c r="L6" t="s">
        <v>69</v>
      </c>
    </row>
    <row r="7" spans="1:12" x14ac:dyDescent="0.3">
      <c r="A7" t="s">
        <v>3</v>
      </c>
      <c r="B7" t="s">
        <v>70</v>
      </c>
      <c r="C7" t="s">
        <v>28</v>
      </c>
      <c r="D7" t="s">
        <v>29</v>
      </c>
      <c r="E7" t="s">
        <v>30</v>
      </c>
      <c r="F7" t="s">
        <v>62</v>
      </c>
      <c r="G7">
        <v>300</v>
      </c>
      <c r="H7">
        <v>50</v>
      </c>
      <c r="I7">
        <v>0</v>
      </c>
      <c r="J7">
        <v>80</v>
      </c>
      <c r="K7" t="s">
        <v>31</v>
      </c>
      <c r="L7" t="s">
        <v>69</v>
      </c>
    </row>
    <row r="8" spans="1:12" x14ac:dyDescent="0.3">
      <c r="A8" t="s">
        <v>32</v>
      </c>
      <c r="B8" t="s">
        <v>71</v>
      </c>
      <c r="C8" t="s">
        <v>45</v>
      </c>
      <c r="D8" t="s">
        <v>18</v>
      </c>
      <c r="E8" t="s">
        <v>24</v>
      </c>
      <c r="F8" t="s">
        <v>64</v>
      </c>
      <c r="G8">
        <v>32000</v>
      </c>
      <c r="H8">
        <v>3</v>
      </c>
      <c r="I8">
        <v>0.1</v>
      </c>
      <c r="J8">
        <v>4800</v>
      </c>
      <c r="K8" t="s">
        <v>33</v>
      </c>
      <c r="L8" t="s">
        <v>69</v>
      </c>
    </row>
    <row r="9" spans="1:12" x14ac:dyDescent="0.3">
      <c r="A9" t="s">
        <v>34</v>
      </c>
      <c r="B9" t="s">
        <v>72</v>
      </c>
      <c r="C9" t="s">
        <v>35</v>
      </c>
      <c r="D9" t="s">
        <v>21</v>
      </c>
      <c r="E9" t="s">
        <v>36</v>
      </c>
      <c r="F9" t="s">
        <v>73</v>
      </c>
      <c r="G9">
        <v>18000</v>
      </c>
      <c r="H9">
        <v>2</v>
      </c>
      <c r="I9">
        <v>0.05</v>
      </c>
      <c r="J9">
        <v>2400</v>
      </c>
      <c r="K9" t="s">
        <v>20</v>
      </c>
      <c r="L9" t="s">
        <v>74</v>
      </c>
    </row>
    <row r="10" spans="1:12" x14ac:dyDescent="0.3">
      <c r="A10" t="s">
        <v>4</v>
      </c>
      <c r="B10" t="s">
        <v>75</v>
      </c>
      <c r="C10" t="s">
        <v>17</v>
      </c>
      <c r="D10" t="s">
        <v>18</v>
      </c>
      <c r="E10" t="s">
        <v>30</v>
      </c>
      <c r="F10" t="s">
        <v>62</v>
      </c>
      <c r="G10">
        <v>87000</v>
      </c>
      <c r="H10">
        <v>1</v>
      </c>
      <c r="I10">
        <v>0</v>
      </c>
      <c r="J10">
        <v>13000</v>
      </c>
      <c r="K10" t="s">
        <v>20</v>
      </c>
      <c r="L10" t="s">
        <v>74</v>
      </c>
    </row>
    <row r="11" spans="1:12" x14ac:dyDescent="0.3">
      <c r="A11" t="s">
        <v>37</v>
      </c>
      <c r="B11" t="s">
        <v>76</v>
      </c>
      <c r="C11" t="s">
        <v>38</v>
      </c>
      <c r="D11" t="s">
        <v>29</v>
      </c>
      <c r="E11" t="s">
        <v>19</v>
      </c>
      <c r="F11" t="s">
        <v>59</v>
      </c>
      <c r="G11">
        <v>800</v>
      </c>
      <c r="H11">
        <v>10</v>
      </c>
      <c r="I11">
        <v>0</v>
      </c>
      <c r="J11">
        <v>200</v>
      </c>
      <c r="K11" t="s">
        <v>20</v>
      </c>
      <c r="L11" t="s">
        <v>74</v>
      </c>
    </row>
    <row r="12" spans="1:12" x14ac:dyDescent="0.3">
      <c r="A12" t="s">
        <v>5</v>
      </c>
      <c r="B12" t="s">
        <v>77</v>
      </c>
      <c r="C12" t="s">
        <v>25</v>
      </c>
      <c r="D12" t="s">
        <v>18</v>
      </c>
      <c r="E12" t="s">
        <v>24</v>
      </c>
      <c r="F12" t="s">
        <v>64</v>
      </c>
      <c r="G12">
        <v>46000</v>
      </c>
      <c r="H12">
        <v>2</v>
      </c>
      <c r="I12">
        <v>0.05</v>
      </c>
      <c r="J12">
        <v>7000</v>
      </c>
      <c r="K12" t="s">
        <v>33</v>
      </c>
      <c r="L12" t="s">
        <v>78</v>
      </c>
    </row>
    <row r="13" spans="1:12" x14ac:dyDescent="0.3">
      <c r="A13" t="s">
        <v>39</v>
      </c>
      <c r="B13" t="s">
        <v>79</v>
      </c>
      <c r="C13" t="s">
        <v>40</v>
      </c>
      <c r="D13" t="s">
        <v>21</v>
      </c>
      <c r="E13" t="s">
        <v>19</v>
      </c>
      <c r="F13" t="s">
        <v>59</v>
      </c>
      <c r="G13">
        <v>13000</v>
      </c>
      <c r="H13">
        <v>3</v>
      </c>
      <c r="I13">
        <v>0.1</v>
      </c>
      <c r="J13">
        <v>1900</v>
      </c>
      <c r="K13" t="s">
        <v>20</v>
      </c>
      <c r="L13" t="s">
        <v>78</v>
      </c>
    </row>
    <row r="14" spans="1:12" x14ac:dyDescent="0.3">
      <c r="A14" t="s">
        <v>6</v>
      </c>
      <c r="B14" t="s">
        <v>80</v>
      </c>
      <c r="C14" t="s">
        <v>23</v>
      </c>
      <c r="D14" t="s">
        <v>29</v>
      </c>
      <c r="E14" t="s">
        <v>36</v>
      </c>
      <c r="F14" t="s">
        <v>73</v>
      </c>
      <c r="G14">
        <v>450</v>
      </c>
      <c r="H14">
        <v>30</v>
      </c>
      <c r="I14">
        <v>0</v>
      </c>
      <c r="J14">
        <f ca="1">AVERAGEIF(D:D, "Stationery", J:J)</f>
        <v>0</v>
      </c>
      <c r="K14" t="s">
        <v>27</v>
      </c>
      <c r="L14" t="s">
        <v>78</v>
      </c>
    </row>
    <row r="15" spans="1:12" x14ac:dyDescent="0.3">
      <c r="A15" t="s">
        <v>41</v>
      </c>
      <c r="B15" t="s">
        <v>81</v>
      </c>
      <c r="C15" t="s">
        <v>42</v>
      </c>
      <c r="D15" t="s">
        <v>18</v>
      </c>
      <c r="E15" t="s">
        <v>30</v>
      </c>
      <c r="F15" t="s">
        <v>62</v>
      </c>
      <c r="G15">
        <v>22000</v>
      </c>
      <c r="H15">
        <v>2</v>
      </c>
      <c r="I15">
        <v>0.05</v>
      </c>
      <c r="J15">
        <v>3100</v>
      </c>
      <c r="K15" t="s">
        <v>20</v>
      </c>
      <c r="L15" t="s">
        <v>82</v>
      </c>
    </row>
    <row r="16" spans="1:12" x14ac:dyDescent="0.3">
      <c r="A16" t="s">
        <v>43</v>
      </c>
      <c r="B16" t="s">
        <v>83</v>
      </c>
      <c r="C16" t="s">
        <v>26</v>
      </c>
      <c r="D16" t="s">
        <v>21</v>
      </c>
      <c r="E16" t="s">
        <v>24</v>
      </c>
      <c r="F16" t="s">
        <v>64</v>
      </c>
      <c r="G16">
        <v>27000</v>
      </c>
      <c r="H16">
        <v>1</v>
      </c>
      <c r="I16">
        <v>0.1</v>
      </c>
      <c r="J16">
        <v>3600</v>
      </c>
      <c r="K16" t="s">
        <v>20</v>
      </c>
      <c r="L16" t="s">
        <v>82</v>
      </c>
    </row>
    <row r="17" spans="1:12" x14ac:dyDescent="0.3">
      <c r="A17" t="s">
        <v>44</v>
      </c>
      <c r="B17" t="s">
        <v>84</v>
      </c>
      <c r="C17" t="s">
        <v>45</v>
      </c>
      <c r="D17" t="s">
        <v>18</v>
      </c>
      <c r="E17" t="s">
        <v>36</v>
      </c>
      <c r="F17" t="s">
        <v>67</v>
      </c>
      <c r="G17">
        <v>33000</v>
      </c>
      <c r="H17">
        <v>1</v>
      </c>
      <c r="I17">
        <v>0</v>
      </c>
      <c r="J17">
        <v>5000</v>
      </c>
      <c r="K17" t="s">
        <v>20</v>
      </c>
      <c r="L17" t="s">
        <v>82</v>
      </c>
    </row>
    <row r="18" spans="1:12" x14ac:dyDescent="0.3">
      <c r="A18" t="s">
        <v>46</v>
      </c>
      <c r="B18" t="s">
        <v>85</v>
      </c>
      <c r="C18" t="s">
        <v>28</v>
      </c>
      <c r="D18" t="s">
        <v>29</v>
      </c>
      <c r="E18" t="s">
        <v>19</v>
      </c>
      <c r="F18" t="s">
        <v>59</v>
      </c>
      <c r="G18">
        <v>250</v>
      </c>
      <c r="H18">
        <v>40</v>
      </c>
      <c r="I18">
        <v>0</v>
      </c>
      <c r="J18">
        <v>60</v>
      </c>
      <c r="K18" t="s">
        <v>86</v>
      </c>
      <c r="L18" t="s">
        <v>87</v>
      </c>
    </row>
    <row r="19" spans="1:12" x14ac:dyDescent="0.3">
      <c r="A19" t="s">
        <v>47</v>
      </c>
      <c r="B19" t="s">
        <v>88</v>
      </c>
      <c r="C19" t="s">
        <v>17</v>
      </c>
      <c r="D19" t="s">
        <v>18</v>
      </c>
      <c r="E19" t="s">
        <v>36</v>
      </c>
      <c r="F19" t="s">
        <v>73</v>
      </c>
      <c r="G19">
        <v>90000</v>
      </c>
      <c r="H19">
        <v>1</v>
      </c>
      <c r="I19">
        <v>0.05</v>
      </c>
      <c r="J19">
        <v>14000</v>
      </c>
      <c r="K19" t="s">
        <v>20</v>
      </c>
      <c r="L19" t="s">
        <v>87</v>
      </c>
    </row>
    <row r="20" spans="1:12" x14ac:dyDescent="0.3">
      <c r="A20" t="s">
        <v>48</v>
      </c>
      <c r="B20" t="s">
        <v>89</v>
      </c>
      <c r="C20" t="s">
        <v>35</v>
      </c>
      <c r="D20" t="s">
        <v>21</v>
      </c>
      <c r="E20" t="s">
        <v>30</v>
      </c>
      <c r="F20" t="s">
        <v>90</v>
      </c>
      <c r="G20">
        <v>19000</v>
      </c>
      <c r="H20">
        <v>1</v>
      </c>
      <c r="I20">
        <v>0.1</v>
      </c>
      <c r="J20">
        <v>2600</v>
      </c>
      <c r="K20" t="s">
        <v>20</v>
      </c>
      <c r="L20" t="s">
        <v>87</v>
      </c>
    </row>
    <row r="21" spans="1:12" x14ac:dyDescent="0.3">
      <c r="A21" t="s">
        <v>7</v>
      </c>
      <c r="B21" t="s">
        <v>91</v>
      </c>
      <c r="C21" t="s">
        <v>42</v>
      </c>
      <c r="D21" t="s">
        <v>18</v>
      </c>
      <c r="E21" t="s">
        <v>24</v>
      </c>
      <c r="F21" t="s">
        <v>64</v>
      </c>
      <c r="G21">
        <v>23000</v>
      </c>
      <c r="H21">
        <v>3</v>
      </c>
      <c r="I21">
        <v>0</v>
      </c>
      <c r="J21">
        <v>3400</v>
      </c>
      <c r="K21" t="s">
        <v>20</v>
      </c>
      <c r="L21" t="s">
        <v>92</v>
      </c>
    </row>
    <row r="22" spans="1:12" x14ac:dyDescent="0.3">
      <c r="A22" t="s">
        <v>93</v>
      </c>
      <c r="B22" t="s">
        <v>94</v>
      </c>
      <c r="C22" t="s">
        <v>95</v>
      </c>
      <c r="D22" t="s">
        <v>18</v>
      </c>
      <c r="E22" t="s">
        <v>19</v>
      </c>
      <c r="F22" t="s">
        <v>59</v>
      </c>
      <c r="G22">
        <v>3500</v>
      </c>
      <c r="H22">
        <v>5</v>
      </c>
      <c r="I22">
        <v>0.05</v>
      </c>
      <c r="J22">
        <v>700</v>
      </c>
      <c r="K22" t="s">
        <v>20</v>
      </c>
      <c r="L22" t="s">
        <v>92</v>
      </c>
    </row>
    <row r="23" spans="1:12" x14ac:dyDescent="0.3">
      <c r="A23" t="s">
        <v>96</v>
      </c>
      <c r="B23" t="s">
        <v>97</v>
      </c>
      <c r="C23" t="s">
        <v>98</v>
      </c>
      <c r="D23" t="s">
        <v>21</v>
      </c>
      <c r="E23" t="s">
        <v>36</v>
      </c>
      <c r="F23" t="s">
        <v>67</v>
      </c>
      <c r="G23">
        <v>55000</v>
      </c>
      <c r="H23">
        <v>1</v>
      </c>
      <c r="I23">
        <v>0.15</v>
      </c>
      <c r="J23">
        <v>6000</v>
      </c>
      <c r="K23" t="s">
        <v>20</v>
      </c>
      <c r="L23" t="s">
        <v>92</v>
      </c>
    </row>
    <row r="24" spans="1:12" x14ac:dyDescent="0.3">
      <c r="A24" t="s">
        <v>99</v>
      </c>
      <c r="B24" t="s">
        <v>100</v>
      </c>
      <c r="C24" t="s">
        <v>101</v>
      </c>
      <c r="D24" t="s">
        <v>29</v>
      </c>
      <c r="E24" t="s">
        <v>30</v>
      </c>
      <c r="F24" t="s">
        <v>62</v>
      </c>
      <c r="G24">
        <v>150</v>
      </c>
      <c r="H24">
        <v>100</v>
      </c>
      <c r="I24">
        <v>0</v>
      </c>
      <c r="J24">
        <v>40</v>
      </c>
      <c r="K24" t="s">
        <v>20</v>
      </c>
      <c r="L24" t="s">
        <v>102</v>
      </c>
    </row>
    <row r="25" spans="1:12" x14ac:dyDescent="0.3">
      <c r="A25" t="s">
        <v>103</v>
      </c>
      <c r="B25" t="s">
        <v>104</v>
      </c>
      <c r="C25" t="s">
        <v>17</v>
      </c>
      <c r="D25" t="s">
        <v>18</v>
      </c>
      <c r="E25" t="s">
        <v>24</v>
      </c>
      <c r="F25" t="s">
        <v>64</v>
      </c>
      <c r="G25">
        <v>92000</v>
      </c>
      <c r="H25">
        <v>1</v>
      </c>
      <c r="I25">
        <v>0</v>
      </c>
      <c r="J25">
        <v>15000</v>
      </c>
      <c r="K25" t="s">
        <v>31</v>
      </c>
      <c r="L25" t="s">
        <v>102</v>
      </c>
    </row>
    <row r="26" spans="1:12" x14ac:dyDescent="0.3">
      <c r="A26" t="s">
        <v>105</v>
      </c>
      <c r="B26" t="s">
        <v>106</v>
      </c>
      <c r="C26" t="s">
        <v>107</v>
      </c>
      <c r="D26" t="s">
        <v>21</v>
      </c>
      <c r="E26" t="s">
        <v>19</v>
      </c>
      <c r="F26" t="s">
        <v>59</v>
      </c>
      <c r="G26">
        <v>8500</v>
      </c>
      <c r="H26">
        <v>2</v>
      </c>
      <c r="I26">
        <v>0.1</v>
      </c>
      <c r="J26">
        <v>1100</v>
      </c>
      <c r="K26" t="s">
        <v>33</v>
      </c>
      <c r="L26" t="s">
        <v>102</v>
      </c>
    </row>
    <row r="27" spans="1:12" x14ac:dyDescent="0.3">
      <c r="A27" t="s">
        <v>108</v>
      </c>
      <c r="B27" t="s">
        <v>109</v>
      </c>
      <c r="C27" t="s">
        <v>110</v>
      </c>
      <c r="D27" t="s">
        <v>18</v>
      </c>
      <c r="E27" t="s">
        <v>36</v>
      </c>
      <c r="F27" t="s">
        <v>73</v>
      </c>
      <c r="G27">
        <v>4500</v>
      </c>
      <c r="H27">
        <v>3</v>
      </c>
      <c r="I27">
        <v>0.05</v>
      </c>
      <c r="J27">
        <v>800</v>
      </c>
      <c r="K27" t="s">
        <v>20</v>
      </c>
      <c r="L27" t="s">
        <v>111</v>
      </c>
    </row>
    <row r="28" spans="1:12" x14ac:dyDescent="0.3">
      <c r="A28" t="s">
        <v>112</v>
      </c>
      <c r="B28" t="s">
        <v>113</v>
      </c>
      <c r="C28" t="s">
        <v>114</v>
      </c>
      <c r="D28" t="s">
        <v>29</v>
      </c>
      <c r="E28" t="s">
        <v>30</v>
      </c>
      <c r="F28" t="s">
        <v>62</v>
      </c>
      <c r="G28">
        <v>600</v>
      </c>
      <c r="H28">
        <v>20</v>
      </c>
      <c r="I28">
        <v>0</v>
      </c>
      <c r="J28">
        <v>150</v>
      </c>
      <c r="K28" t="s">
        <v>20</v>
      </c>
      <c r="L28" t="s">
        <v>111</v>
      </c>
    </row>
    <row r="29" spans="1:12" x14ac:dyDescent="0.3">
      <c r="A29" t="s">
        <v>115</v>
      </c>
      <c r="B29" t="s">
        <v>116</v>
      </c>
      <c r="C29" t="s">
        <v>25</v>
      </c>
      <c r="D29" t="s">
        <v>18</v>
      </c>
      <c r="E29" t="s">
        <v>24</v>
      </c>
      <c r="F29" t="s">
        <v>64</v>
      </c>
      <c r="G29">
        <v>48000</v>
      </c>
      <c r="H29">
        <v>2</v>
      </c>
      <c r="I29">
        <v>0.05</v>
      </c>
      <c r="J29">
        <v>7500</v>
      </c>
      <c r="K29" t="s">
        <v>27</v>
      </c>
      <c r="L29" t="s">
        <v>111</v>
      </c>
    </row>
    <row r="30" spans="1:12" x14ac:dyDescent="0.3">
      <c r="A30" t="s">
        <v>117</v>
      </c>
      <c r="B30" t="s">
        <v>118</v>
      </c>
      <c r="C30" t="s">
        <v>40</v>
      </c>
      <c r="D30" t="s">
        <v>21</v>
      </c>
      <c r="E30" t="s">
        <v>19</v>
      </c>
      <c r="F30" t="s">
        <v>59</v>
      </c>
      <c r="G30">
        <v>14000</v>
      </c>
      <c r="H30">
        <v>2</v>
      </c>
      <c r="I30">
        <v>0.1</v>
      </c>
      <c r="J30">
        <v>2000</v>
      </c>
      <c r="K30" t="s">
        <v>20</v>
      </c>
      <c r="L30" t="s">
        <v>119</v>
      </c>
    </row>
    <row r="31" spans="1:12" x14ac:dyDescent="0.3">
      <c r="A31" t="s">
        <v>120</v>
      </c>
      <c r="B31" t="s">
        <v>121</v>
      </c>
      <c r="C31" t="s">
        <v>45</v>
      </c>
      <c r="D31" t="s">
        <v>18</v>
      </c>
      <c r="E31" t="s">
        <v>36</v>
      </c>
      <c r="F31" t="s">
        <v>67</v>
      </c>
      <c r="G31">
        <v>35000</v>
      </c>
      <c r="H31">
        <v>1</v>
      </c>
      <c r="I31">
        <v>0</v>
      </c>
      <c r="J31">
        <v>5500</v>
      </c>
      <c r="K31" t="s">
        <v>33</v>
      </c>
      <c r="L31" t="s">
        <v>119</v>
      </c>
    </row>
    <row r="32" spans="1:12" x14ac:dyDescent="0.3">
      <c r="A32" t="s">
        <v>122</v>
      </c>
      <c r="B32" t="s">
        <v>123</v>
      </c>
      <c r="C32" t="s">
        <v>124</v>
      </c>
      <c r="D32" t="s">
        <v>29</v>
      </c>
      <c r="E32" t="s">
        <v>30</v>
      </c>
      <c r="F32" t="s">
        <v>62</v>
      </c>
      <c r="G32">
        <v>400</v>
      </c>
      <c r="H32">
        <v>25</v>
      </c>
      <c r="I32">
        <v>0</v>
      </c>
      <c r="J32">
        <v>90</v>
      </c>
      <c r="K32" t="s">
        <v>20</v>
      </c>
      <c r="L32" t="s">
        <v>119</v>
      </c>
    </row>
    <row r="33" spans="1:12" x14ac:dyDescent="0.3">
      <c r="A33" t="s">
        <v>125</v>
      </c>
      <c r="B33" t="s">
        <v>126</v>
      </c>
      <c r="C33" t="s">
        <v>17</v>
      </c>
      <c r="D33" t="s">
        <v>18</v>
      </c>
      <c r="E33" t="s">
        <v>24</v>
      </c>
      <c r="F33" t="s">
        <v>64</v>
      </c>
      <c r="G33">
        <v>88000</v>
      </c>
      <c r="H33">
        <v>1</v>
      </c>
      <c r="I33">
        <v>0.05</v>
      </c>
      <c r="J33">
        <v>13500</v>
      </c>
      <c r="K33" t="s">
        <v>20</v>
      </c>
      <c r="L33" t="s">
        <v>127</v>
      </c>
    </row>
    <row r="34" spans="1:12" x14ac:dyDescent="0.3">
      <c r="A34" t="s">
        <v>128</v>
      </c>
      <c r="B34" t="s">
        <v>129</v>
      </c>
      <c r="C34" t="s">
        <v>130</v>
      </c>
      <c r="D34" t="s">
        <v>21</v>
      </c>
      <c r="E34" t="s">
        <v>19</v>
      </c>
      <c r="F34" t="s">
        <v>59</v>
      </c>
      <c r="G34">
        <v>65000</v>
      </c>
      <c r="H34">
        <v>1</v>
      </c>
      <c r="I34">
        <v>0.1</v>
      </c>
      <c r="J34">
        <v>7000</v>
      </c>
      <c r="K34" t="s">
        <v>20</v>
      </c>
      <c r="L34" t="s">
        <v>127</v>
      </c>
    </row>
    <row r="35" spans="1:12" x14ac:dyDescent="0.3">
      <c r="A35" t="s">
        <v>131</v>
      </c>
      <c r="B35" t="s">
        <v>132</v>
      </c>
      <c r="C35" t="s">
        <v>133</v>
      </c>
      <c r="D35" t="s">
        <v>18</v>
      </c>
      <c r="E35" t="s">
        <v>36</v>
      </c>
      <c r="F35" t="s">
        <v>73</v>
      </c>
      <c r="G35">
        <v>18000</v>
      </c>
      <c r="H35">
        <v>1</v>
      </c>
      <c r="I35">
        <v>0.15</v>
      </c>
      <c r="J35">
        <v>2200</v>
      </c>
      <c r="K35" t="s">
        <v>20</v>
      </c>
      <c r="L35" t="s">
        <v>127</v>
      </c>
    </row>
    <row r="36" spans="1:12" x14ac:dyDescent="0.3">
      <c r="A36" t="s">
        <v>134</v>
      </c>
      <c r="B36" t="s">
        <v>135</v>
      </c>
      <c r="C36" t="s">
        <v>28</v>
      </c>
      <c r="D36" t="s">
        <v>29</v>
      </c>
      <c r="E36" t="s">
        <v>30</v>
      </c>
      <c r="F36" t="s">
        <v>62</v>
      </c>
      <c r="G36">
        <v>350</v>
      </c>
      <c r="H36">
        <v>30</v>
      </c>
      <c r="I36">
        <v>0</v>
      </c>
      <c r="J36">
        <v>85</v>
      </c>
      <c r="K36" t="s">
        <v>20</v>
      </c>
      <c r="L36" t="s">
        <v>60</v>
      </c>
    </row>
    <row r="37" spans="1:12" x14ac:dyDescent="0.3">
      <c r="A37" t="s">
        <v>136</v>
      </c>
      <c r="B37" t="s">
        <v>137</v>
      </c>
      <c r="C37" t="s">
        <v>42</v>
      </c>
      <c r="D37" t="s">
        <v>18</v>
      </c>
      <c r="E37" t="s">
        <v>24</v>
      </c>
      <c r="F37" t="s">
        <v>64</v>
      </c>
      <c r="G37">
        <v>24000</v>
      </c>
      <c r="H37">
        <v>2</v>
      </c>
      <c r="I37">
        <v>0.05</v>
      </c>
      <c r="J37">
        <v>3600</v>
      </c>
      <c r="K37" t="s">
        <v>138</v>
      </c>
      <c r="L37" t="s">
        <v>60</v>
      </c>
    </row>
    <row r="38" spans="1:12" x14ac:dyDescent="0.3">
      <c r="A38" t="s">
        <v>139</v>
      </c>
      <c r="B38" t="s">
        <v>140</v>
      </c>
      <c r="C38" t="s">
        <v>35</v>
      </c>
      <c r="D38" t="s">
        <v>21</v>
      </c>
      <c r="E38" t="s">
        <v>19</v>
      </c>
      <c r="F38" t="s">
        <v>59</v>
      </c>
      <c r="G38">
        <v>21000</v>
      </c>
      <c r="H38">
        <v>1</v>
      </c>
      <c r="I38">
        <v>0.1</v>
      </c>
      <c r="J38">
        <v>2800</v>
      </c>
      <c r="K38" t="s">
        <v>20</v>
      </c>
      <c r="L38" t="s">
        <v>65</v>
      </c>
    </row>
    <row r="39" spans="1:12" x14ac:dyDescent="0.3">
      <c r="A39" t="s">
        <v>141</v>
      </c>
      <c r="B39" t="s">
        <v>142</v>
      </c>
      <c r="C39" t="s">
        <v>95</v>
      </c>
      <c r="D39" t="s">
        <v>18</v>
      </c>
      <c r="E39" t="s">
        <v>36</v>
      </c>
      <c r="F39" t="s">
        <v>67</v>
      </c>
      <c r="G39">
        <v>3800</v>
      </c>
      <c r="H39">
        <v>4</v>
      </c>
      <c r="I39">
        <v>0</v>
      </c>
      <c r="J39">
        <v>750</v>
      </c>
      <c r="K39" t="s">
        <v>33</v>
      </c>
      <c r="L39" t="s">
        <v>65</v>
      </c>
    </row>
    <row r="40" spans="1:12" x14ac:dyDescent="0.3">
      <c r="A40" t="s">
        <v>143</v>
      </c>
      <c r="B40" t="s">
        <v>144</v>
      </c>
      <c r="C40" t="s">
        <v>101</v>
      </c>
      <c r="D40" t="s">
        <v>29</v>
      </c>
      <c r="E40" t="s">
        <v>30</v>
      </c>
      <c r="F40" t="s">
        <v>62</v>
      </c>
      <c r="G40">
        <v>200</v>
      </c>
      <c r="H40">
        <v>80</v>
      </c>
      <c r="I40">
        <v>0</v>
      </c>
      <c r="J40">
        <v>50</v>
      </c>
      <c r="K40" t="s">
        <v>20</v>
      </c>
      <c r="L40" t="s">
        <v>65</v>
      </c>
    </row>
    <row r="41" spans="1:12" x14ac:dyDescent="0.3">
      <c r="A41" t="s">
        <v>145</v>
      </c>
      <c r="B41" t="s">
        <v>146</v>
      </c>
      <c r="C41" t="s">
        <v>98</v>
      </c>
      <c r="D41" t="s">
        <v>21</v>
      </c>
      <c r="E41" t="s">
        <v>24</v>
      </c>
      <c r="F41" t="s">
        <v>64</v>
      </c>
      <c r="G41">
        <v>58000</v>
      </c>
      <c r="H41">
        <v>1</v>
      </c>
      <c r="I41">
        <v>0.15</v>
      </c>
      <c r="J41">
        <v>6500</v>
      </c>
      <c r="K41" t="s">
        <v>20</v>
      </c>
      <c r="L41" t="s">
        <v>69</v>
      </c>
    </row>
    <row r="42" spans="1:12" x14ac:dyDescent="0.3">
      <c r="A42" t="s">
        <v>147</v>
      </c>
      <c r="B42" t="s">
        <v>148</v>
      </c>
      <c r="C42" t="s">
        <v>110</v>
      </c>
      <c r="D42" t="s">
        <v>18</v>
      </c>
      <c r="E42" t="s">
        <v>19</v>
      </c>
      <c r="F42" t="s">
        <v>59</v>
      </c>
      <c r="G42">
        <v>5000</v>
      </c>
      <c r="H42">
        <v>2</v>
      </c>
      <c r="I42">
        <v>0.05</v>
      </c>
      <c r="J42">
        <v>900</v>
      </c>
      <c r="K42" t="s">
        <v>20</v>
      </c>
      <c r="L42" t="s">
        <v>69</v>
      </c>
    </row>
    <row r="43" spans="1:12" x14ac:dyDescent="0.3">
      <c r="A43" t="s">
        <v>149</v>
      </c>
      <c r="B43" t="s">
        <v>150</v>
      </c>
      <c r="C43" t="s">
        <v>38</v>
      </c>
      <c r="D43" t="s">
        <v>29</v>
      </c>
      <c r="E43" t="s">
        <v>36</v>
      </c>
      <c r="F43" t="s">
        <v>73</v>
      </c>
      <c r="G43">
        <v>900</v>
      </c>
      <c r="H43">
        <v>8</v>
      </c>
      <c r="I43">
        <v>0</v>
      </c>
      <c r="J43">
        <v>220</v>
      </c>
      <c r="K43" t="s">
        <v>151</v>
      </c>
      <c r="L43" t="s">
        <v>69</v>
      </c>
    </row>
    <row r="44" spans="1:12" x14ac:dyDescent="0.3">
      <c r="A44" t="s">
        <v>152</v>
      </c>
      <c r="B44" t="s">
        <v>153</v>
      </c>
      <c r="C44" t="s">
        <v>26</v>
      </c>
      <c r="D44" t="s">
        <v>21</v>
      </c>
      <c r="E44" t="s">
        <v>30</v>
      </c>
      <c r="F44" t="s">
        <v>62</v>
      </c>
      <c r="G44">
        <v>29000</v>
      </c>
      <c r="H44">
        <v>1</v>
      </c>
      <c r="I44">
        <v>0.1</v>
      </c>
      <c r="J44">
        <v>3800</v>
      </c>
      <c r="K44" t="s">
        <v>20</v>
      </c>
      <c r="L44" t="s">
        <v>74</v>
      </c>
    </row>
    <row r="45" spans="1:12" x14ac:dyDescent="0.3">
      <c r="A45" t="s">
        <v>154</v>
      </c>
      <c r="B45" t="s">
        <v>155</v>
      </c>
      <c r="C45" t="s">
        <v>45</v>
      </c>
      <c r="D45" t="s">
        <v>18</v>
      </c>
      <c r="E45" t="s">
        <v>24</v>
      </c>
      <c r="F45" t="s">
        <v>64</v>
      </c>
      <c r="G45">
        <v>36000</v>
      </c>
      <c r="H45">
        <v>1</v>
      </c>
      <c r="I45">
        <v>0</v>
      </c>
      <c r="J45">
        <v>5800</v>
      </c>
      <c r="K45" t="s">
        <v>20</v>
      </c>
      <c r="L45" t="s">
        <v>74</v>
      </c>
    </row>
    <row r="46" spans="1:12" x14ac:dyDescent="0.3">
      <c r="A46" t="s">
        <v>156</v>
      </c>
      <c r="B46" t="s">
        <v>157</v>
      </c>
      <c r="C46" t="s">
        <v>114</v>
      </c>
      <c r="D46" t="s">
        <v>29</v>
      </c>
      <c r="E46" t="s">
        <v>19</v>
      </c>
      <c r="F46" t="s">
        <v>59</v>
      </c>
      <c r="G46">
        <v>700</v>
      </c>
      <c r="H46">
        <v>15</v>
      </c>
      <c r="I46">
        <v>0</v>
      </c>
      <c r="J46">
        <v>180</v>
      </c>
      <c r="K46" t="s">
        <v>20</v>
      </c>
      <c r="L46" t="s">
        <v>74</v>
      </c>
    </row>
    <row r="47" spans="1:12" x14ac:dyDescent="0.3">
      <c r="A47" t="s">
        <v>158</v>
      </c>
      <c r="B47" t="s">
        <v>159</v>
      </c>
      <c r="C47" t="s">
        <v>25</v>
      </c>
      <c r="D47" t="s">
        <v>18</v>
      </c>
      <c r="E47" t="s">
        <v>36</v>
      </c>
      <c r="F47" t="s">
        <v>67</v>
      </c>
      <c r="G47">
        <v>52000</v>
      </c>
      <c r="H47">
        <v>2</v>
      </c>
      <c r="I47">
        <v>0.05</v>
      </c>
      <c r="J47">
        <v>8000</v>
      </c>
      <c r="K47" t="s">
        <v>20</v>
      </c>
      <c r="L47" t="s">
        <v>78</v>
      </c>
    </row>
    <row r="48" spans="1:12" x14ac:dyDescent="0.3">
      <c r="A48" t="s">
        <v>160</v>
      </c>
      <c r="B48" t="s">
        <v>161</v>
      </c>
      <c r="C48" t="s">
        <v>107</v>
      </c>
      <c r="D48" t="s">
        <v>21</v>
      </c>
      <c r="E48" t="s">
        <v>30</v>
      </c>
      <c r="F48" t="s">
        <v>62</v>
      </c>
      <c r="G48">
        <v>9000</v>
      </c>
      <c r="H48">
        <v>1</v>
      </c>
      <c r="I48">
        <v>0.1</v>
      </c>
      <c r="J48">
        <v>1200</v>
      </c>
      <c r="K48" t="s">
        <v>33</v>
      </c>
      <c r="L48" t="s">
        <v>78</v>
      </c>
    </row>
    <row r="49" spans="1:12" x14ac:dyDescent="0.3">
      <c r="A49" t="s">
        <v>162</v>
      </c>
      <c r="B49" t="s">
        <v>163</v>
      </c>
      <c r="C49" t="s">
        <v>124</v>
      </c>
      <c r="D49" t="s">
        <v>29</v>
      </c>
      <c r="E49" t="s">
        <v>24</v>
      </c>
      <c r="F49" t="s">
        <v>64</v>
      </c>
      <c r="G49">
        <v>350</v>
      </c>
      <c r="H49">
        <v>20</v>
      </c>
      <c r="I49">
        <v>0</v>
      </c>
      <c r="J49">
        <v>3100</v>
      </c>
      <c r="K49" t="s">
        <v>20</v>
      </c>
      <c r="L49" t="s">
        <v>78</v>
      </c>
    </row>
    <row r="50" spans="1:12" x14ac:dyDescent="0.3">
      <c r="A50" t="s">
        <v>164</v>
      </c>
      <c r="B50" t="s">
        <v>165</v>
      </c>
      <c r="C50" t="s">
        <v>17</v>
      </c>
      <c r="D50" t="s">
        <v>18</v>
      </c>
      <c r="E50" t="s">
        <v>19</v>
      </c>
      <c r="F50" t="s">
        <v>59</v>
      </c>
      <c r="G50">
        <v>95000</v>
      </c>
      <c r="H50">
        <v>1</v>
      </c>
      <c r="I50">
        <v>0</v>
      </c>
      <c r="J50">
        <v>16000</v>
      </c>
      <c r="K50" t="s">
        <v>20</v>
      </c>
      <c r="L50" t="s">
        <v>82</v>
      </c>
    </row>
    <row r="51" spans="1:12" x14ac:dyDescent="0.3">
      <c r="A51" t="s">
        <v>166</v>
      </c>
      <c r="B51" t="s">
        <v>167</v>
      </c>
      <c r="C51" t="s">
        <v>40</v>
      </c>
      <c r="D51" t="s">
        <v>21</v>
      </c>
      <c r="E51" t="s">
        <v>36</v>
      </c>
      <c r="F51" t="s">
        <v>73</v>
      </c>
      <c r="G51">
        <v>15000</v>
      </c>
      <c r="H51">
        <v>3</v>
      </c>
      <c r="I51">
        <v>0.1</v>
      </c>
      <c r="J51">
        <v>2100</v>
      </c>
      <c r="K51" t="s">
        <v>20</v>
      </c>
      <c r="L51" t="s">
        <v>82</v>
      </c>
    </row>
    <row r="59" spans="1:12" x14ac:dyDescent="0.3">
      <c r="C59" s="1"/>
    </row>
    <row r="60" spans="1:12" x14ac:dyDescent="0.3">
      <c r="F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Nishma Medappa</dc:creator>
  <cp:lastModifiedBy>Nishma Medappa</cp:lastModifiedBy>
  <dcterms:created xsi:type="dcterms:W3CDTF">2026-04-23T05:54:41Z</dcterms:created>
  <dcterms:modified xsi:type="dcterms:W3CDTF">2026-04-24T08:59:06Z</dcterms:modified>
</cp:coreProperties>
</file>